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Engineering\GitHub\MAU-1.0\GraphGenerator\MainDev\"/>
    </mc:Choice>
  </mc:AlternateContent>
  <xr:revisionPtr revIDLastSave="0" documentId="13_ncr:1_{8F20E381-6EFC-4778-95AB-08DAF794ED16}" xr6:coauthVersionLast="41" xr6:coauthVersionMax="41" xr10:uidLastSave="{00000000-0000-0000-0000-000000000000}"/>
  <bookViews>
    <workbookView xWindow="-120" yWindow="-120" windowWidth="38640" windowHeight="21240" activeTab="1" xr2:uid="{00000000-000D-0000-FFFF-FFFF00000000}"/>
  </bookViews>
  <sheets>
    <sheet name="Modelo Atmosférico" sheetId="31" r:id="rId1"/>
    <sheet name="Leitura Dados de Vôo" sheetId="65" r:id="rId2"/>
    <sheet name="Zerar o Altímetro" sheetId="66" r:id="rId3"/>
  </sheets>
  <functionGroups builtInGroupCount="19"/>
  <definedNames>
    <definedName name="P1_flight_data_raw" localSheetId="1">'Leitura Dados de Vôo'!$C$8:$C$40</definedName>
    <definedName name="P1_flight_data_raw_1" localSheetId="1">'Leitura Dados de Vôo'!$C$8:$C$51</definedName>
    <definedName name="P1_flight_data_raw_100" localSheetId="1">'Leitura Dados de Vôo'!$C$8:$C$247</definedName>
    <definedName name="P1_flight_data_raw_101" localSheetId="1">'Leitura Dados de Vôo'!$C$8:$C$247</definedName>
    <definedName name="P1_flight_data_raw_104" localSheetId="1">'Leitura Dados de Vôo'!$C$8:$C$247</definedName>
    <definedName name="P1_flight_data_raw_105" localSheetId="1">'Leitura Dados de Vôo'!$C$8:$C$38</definedName>
    <definedName name="P1_flight_data_raw_106" localSheetId="1">'Leitura Dados de Vôo'!$C$8:$C$247</definedName>
    <definedName name="P1_flight_data_raw_107" localSheetId="1">'Leitura Dados de Vôo'!$C$8:$C$247</definedName>
    <definedName name="P1_flight_data_raw_108" localSheetId="1">'Leitura Dados de Vôo'!$C$8:$C$36</definedName>
    <definedName name="P1_flight_data_raw_109" localSheetId="1">'Leitura Dados de Vôo'!$C$8:$C$247</definedName>
    <definedName name="P1_flight_data_raw_110" localSheetId="1">'Leitura Dados de Vôo'!$C$8:$C$247</definedName>
    <definedName name="P1_flight_data_raw_111" localSheetId="1">'Leitura Dados de Vôo'!$C$8:$C$247</definedName>
    <definedName name="P1_flight_data_raw_112" localSheetId="1">'Leitura Dados de Vôo'!$C$8:$C$247</definedName>
    <definedName name="P1_flight_data_raw_113" localSheetId="1">'Leitura Dados de Vôo'!$C$8:$C$247</definedName>
    <definedName name="P1_flight_data_raw_114" localSheetId="1">'Leitura Dados de Vôo'!$C$8:$C$247</definedName>
    <definedName name="P1_flight_data_raw_115" localSheetId="1">'Leitura Dados de Vôo'!$C$8:$C$247</definedName>
    <definedName name="P1_flight_data_raw_116" localSheetId="1">'Leitura Dados de Vôo'!$C$8:$C$247</definedName>
    <definedName name="P1_flight_data_raw_117" localSheetId="1">'Leitura Dados de Vôo'!$C$8:$C$247</definedName>
    <definedName name="P1_flight_data_raw_118" localSheetId="1">'Leitura Dados de Vôo'!$C$8:$C$247</definedName>
    <definedName name="P1_flight_data_raw_119" localSheetId="1">'Leitura Dados de Vôo'!$C$8:$C$247</definedName>
    <definedName name="P1_flight_data_raw_120" localSheetId="1">'Leitura Dados de Vôo'!$C$8:$C$247</definedName>
    <definedName name="P1_flight_data_raw_121" localSheetId="1">'Leitura Dados de Vôo'!$C$8:$C$247</definedName>
    <definedName name="P1_flight_data_raw_122" localSheetId="1">'Leitura Dados de Vôo'!$C$8:$C$247</definedName>
    <definedName name="P1_flight_data_raw_123" localSheetId="1">'Leitura Dados de Vôo'!$C$8:$C$247</definedName>
    <definedName name="P1_flight_data_raw_125" localSheetId="1">'Leitura Dados de Vôo'!$C$8:$C$247</definedName>
    <definedName name="P1_flight_data_raw_126" localSheetId="1">'Leitura Dados de Vôo'!$C$8:$C$247</definedName>
    <definedName name="P1_flight_data_raw_127" localSheetId="1">'Leitura Dados de Vôo'!$C$8:$C$247</definedName>
    <definedName name="P1_flight_data_raw_130" localSheetId="1">'Leitura Dados de Vôo'!$C$8:$C$247</definedName>
    <definedName name="P1_flight_data_raw_131" localSheetId="1">'Leitura Dados de Vôo'!$C$8:$C$37</definedName>
    <definedName name="P1_flight_data_raw_133" localSheetId="1">'Leitura Dados de Vôo'!$C$8:$C$37</definedName>
    <definedName name="P1_flight_data_raw_134" localSheetId="1">'Leitura Dados de Vôo'!$C$8:$C$37</definedName>
    <definedName name="P1_flight_data_raw_135" localSheetId="1">'Leitura Dados de Vôo'!$C$8:$C$37</definedName>
    <definedName name="P1_flight_data_raw_136" localSheetId="1">'Leitura Dados de Vôo'!$C$8:$C$37</definedName>
    <definedName name="P1_flight_data_raw_137" localSheetId="1">'Leitura Dados de Vôo'!$C$8:$C$37</definedName>
    <definedName name="P1_flight_data_raw_138" localSheetId="1">'Leitura Dados de Vôo'!$C$8:$C$37</definedName>
    <definedName name="P1_flight_data_raw_139" localSheetId="1">'Leitura Dados de Vôo'!$C$8:$C$111</definedName>
    <definedName name="P1_flight_data_raw_140" localSheetId="1">'Leitura Dados de Vôo'!$C$8:$C$111</definedName>
    <definedName name="P1_flight_data_raw_141" localSheetId="1">'Leitura Dados de Vôo'!$C$8:$C$111</definedName>
    <definedName name="P1_flight_data_raw_142" localSheetId="1">'Leitura Dados de Vôo'!$C$8:$C$111</definedName>
    <definedName name="P1_flight_data_raw_143" localSheetId="1">'Leitura Dados de Vôo'!$C$8:$C$111</definedName>
    <definedName name="P1_flight_data_raw_144" localSheetId="1">'Leitura Dados de Vôo'!$C$8:$C$226</definedName>
    <definedName name="P1_flight_data_raw_145" localSheetId="1">'Leitura Dados de Vôo'!$C$8:$C$111</definedName>
    <definedName name="P1_flight_data_raw_146" localSheetId="1">'Leitura Dados de Vôo'!$C$8:$C$111</definedName>
    <definedName name="P1_flight_data_raw_147" localSheetId="1">'Leitura Dados de Vôo'!$C$8:$C$111</definedName>
    <definedName name="P1_flight_data_raw_148" localSheetId="1">'Leitura Dados de Vôo'!$C$8:$C$111</definedName>
    <definedName name="P1_flight_data_raw_149" localSheetId="1">'Leitura Dados de Vôo'!$C$8:$C$205</definedName>
    <definedName name="P1_flight_data_raw_150" localSheetId="1">'Leitura Dados de Vôo'!$C$8:$C$202</definedName>
    <definedName name="P1_flight_data_raw_151" localSheetId="1">'Leitura Dados de Vôo'!$C$8:$C$202</definedName>
    <definedName name="P1_flight_data_raw_152" localSheetId="1">'Leitura Dados de Vôo'!$C$8:$C$123</definedName>
    <definedName name="P1_flight_data_raw_153" localSheetId="1">'Leitura Dados de Vôo'!$C$8:$C$65</definedName>
    <definedName name="P1_flight_data_raw_23" localSheetId="1">'Leitura Dados de Vôo'!$C$8:$C$40</definedName>
    <definedName name="P1_flight_data_raw_3" localSheetId="1">'Leitura Dados de Vôo'!$C$8:$C$42</definedName>
    <definedName name="P1_flight_data_raw_38" localSheetId="1">'Leitura Dados de Vôo'!$C$8:$C$40</definedName>
    <definedName name="P1_flight_data_raw_4" localSheetId="1">'Leitura Dados de Vôo'!$C$8:$C$42</definedName>
    <definedName name="P1_flight_data_raw_40" localSheetId="1">'Leitura Dados de Vôo'!$C$8:$C$87</definedName>
    <definedName name="P1_flight_data_raw_41" localSheetId="1">'Leitura Dados de Vôo'!$C$8:$C$87</definedName>
    <definedName name="P1_flight_data_raw_43" localSheetId="1">'Leitura Dados de Vôo'!$C$8:$C$41</definedName>
    <definedName name="P1_flight_data_raw_49" localSheetId="1">'Leitura Dados de Vôo'!$C$8:$C$42</definedName>
    <definedName name="P1_flight_data_raw_50" localSheetId="1">'Leitura Dados de Vôo'!$C$8:$C$42</definedName>
    <definedName name="P1_flight_data_raw_54" localSheetId="1">'Leitura Dados de Vôo'!$C$8:$C$40</definedName>
    <definedName name="P1_flight_data_raw_55" localSheetId="1">'Leitura Dados de Vôo'!$C$8:$C$46</definedName>
    <definedName name="P1_flight_data_raw_56" localSheetId="1">'Leitura Dados de Vôo'!$C$8:$C$40</definedName>
    <definedName name="P1_flight_data_raw_58" localSheetId="1">'Leitura Dados de Vôo'!$C$8:$C$43</definedName>
    <definedName name="P1_flight_data_raw_64" localSheetId="1">'Leitura Dados de Vôo'!$C$8:$C$95</definedName>
    <definedName name="P1_flight_data_raw_65" localSheetId="1">'Leitura Dados de Vôo'!$C$8:$C$42</definedName>
    <definedName name="P1_flight_data_raw_66" localSheetId="1">'Leitura Dados de Vôo'!$C$8:$C$112</definedName>
    <definedName name="P1_flight_data_raw_67" localSheetId="1">'Leitura Dados de Vôo'!$C$8:$C$32</definedName>
    <definedName name="P1_flight_data_raw_68" localSheetId="1">'Leitura Dados de Vôo'!$C$8:$C$32</definedName>
    <definedName name="P1_flight_data_raw_69" localSheetId="1">'Leitura Dados de Vôo'!$C$8:$C$32</definedName>
    <definedName name="P1_flight_data_raw_70" localSheetId="1">'Leitura Dados de Vôo'!$C$8:$C$32</definedName>
    <definedName name="P1_flight_data_raw_71" localSheetId="1">'Leitura Dados de Vôo'!$C$8:$C$32</definedName>
    <definedName name="P1_flight_data_raw_72" localSheetId="1">'Leitura Dados de Vôo'!$C$8:$C$10</definedName>
    <definedName name="P1_flight_data_raw_73" localSheetId="1">'Leitura Dados de Vôo'!$C$8:$C$11</definedName>
    <definedName name="P1_flight_data_raw_74" localSheetId="1">'Leitura Dados de Vôo'!$C$8:$C$27</definedName>
    <definedName name="P1_flight_data_raw_75" localSheetId="1">'Leitura Dados de Vôo'!$C$8:$C$27</definedName>
    <definedName name="P1_flight_data_raw_76" localSheetId="1">'Leitura Dados de Vôo'!$C$8:$C$27</definedName>
    <definedName name="P1_flight_data_raw_79" localSheetId="1">'Leitura Dados de Vôo'!$C$8:$C$28</definedName>
    <definedName name="P1_flight_data_raw_8" localSheetId="1">'Leitura Dados de Vôo'!$C$8:$C$43</definedName>
    <definedName name="P1_flight_data_raw_80" localSheetId="1">'Leitura Dados de Vôo'!$C$8:$C$69</definedName>
    <definedName name="P1_flight_data_raw_81" localSheetId="1">'Leitura Dados de Vôo'!$C$8:$C$11</definedName>
    <definedName name="P1_flight_data_raw_82" localSheetId="1">'Leitura Dados de Vôo'!$C$8:$C$38</definedName>
    <definedName name="P1_flight_data_raw_83" localSheetId="1">'Leitura Dados de Vôo'!$C$8:$C$15</definedName>
    <definedName name="P1_flight_data_raw_84" localSheetId="1">'Leitura Dados de Vôo'!$C$8:$C$15</definedName>
    <definedName name="P1_flight_data_raw_85" localSheetId="1">'Leitura Dados de Vôo'!$C$8:$C$53</definedName>
    <definedName name="P1_flight_data_raw_86" localSheetId="1">'Leitura Dados de Vôo'!$C$8:$C$45</definedName>
    <definedName name="P1_flight_data_raw_87" localSheetId="1">'Leitura Dados de Vôo'!$C$8:$C$40</definedName>
    <definedName name="P1_flight_data_raw_88" localSheetId="1">'Leitura Dados de Vôo'!$C$8:$C$40</definedName>
    <definedName name="P1_flight_data_raw_89" localSheetId="1">'Leitura Dados de Vôo'!$C$8:$C$40</definedName>
    <definedName name="P1_flight_data_raw_90" localSheetId="1">'Leitura Dados de Vôo'!$C$8:$C$247</definedName>
    <definedName name="P1_flight_data_raw_91" localSheetId="1">'Leitura Dados de Vôo'!$C$8:$C$247</definedName>
    <definedName name="P1_flight_data_raw_92" localSheetId="1">'Leitura Dados de Vôo'!$C$8:$C$247</definedName>
    <definedName name="P1_flight_data_raw_93" localSheetId="1">'Leitura Dados de Vôo'!$C$8:$C$35</definedName>
    <definedName name="P1_flight_data_raw_94" localSheetId="1">'Leitura Dados de Vôo'!$C$8:$C$247</definedName>
    <definedName name="P1_flight_data_raw_95" localSheetId="1">'Leitura Dados de Vôo'!$C$8:$C$247</definedName>
    <definedName name="P1_flight_data_raw_96" localSheetId="1">'Leitura Dados de Vôo'!$C$8:$C$247</definedName>
    <definedName name="P1_flight_data_raw_97" localSheetId="1">'Leitura Dados de Vôo'!$C$8:$C$37</definedName>
    <definedName name="P1_flight_data_raw_98" localSheetId="1">'Leitura Dados de Vôo'!$C$8:$C$247</definedName>
    <definedName name="P1_flight_data_raw_99" localSheetId="1">'Leitura Dados de Vôo'!$C$8:$C$37</definedName>
    <definedName name="P1_flight_data_true" localSheetId="1">'Leitura Dados de Vôo'!$D$2:$D$95</definedName>
    <definedName name="P1_flight_data_true_1" localSheetId="1">'Leitura Dados de Vôo'!#REF!</definedName>
    <definedName name="P1_flight_data_true_10" localSheetId="1">'Leitura Dados de Vôo'!$D$2:$D$51</definedName>
    <definedName name="P1_flight_data_true_100" localSheetId="1">'Leitura Dados de Vôo'!$D$2:$D$40</definedName>
    <definedName name="P1_flight_data_true_101" localSheetId="1">'Leitura Dados de Vôo'!$D$2:$D$40</definedName>
    <definedName name="P1_flight_data_true_102" localSheetId="1">'Leitura Dados de Vôo'!$D$2:$D$247</definedName>
    <definedName name="P1_flight_data_true_103" localSheetId="1">'Leitura Dados de Vôo'!$D$2:$D$247</definedName>
    <definedName name="P1_flight_data_true_104" localSheetId="1">'Leitura Dados de Vôo'!$D$2:$D$247</definedName>
    <definedName name="P1_flight_data_true_105" localSheetId="1">'Leitura Dados de Vôo'!$D$2:$D$35</definedName>
    <definedName name="P1_flight_data_true_106" localSheetId="1">'Leitura Dados de Vôo'!$D$2:$D$247</definedName>
    <definedName name="P1_flight_data_true_107" localSheetId="1">'Leitura Dados de Vôo'!$D$2:$D$247</definedName>
    <definedName name="P1_flight_data_true_108" localSheetId="1">'Leitura Dados de Vôo'!$D$2:$D$247</definedName>
    <definedName name="P1_flight_data_true_109" localSheetId="1">'Leitura Dados de Vôo'!$D$2:$D$37</definedName>
    <definedName name="P1_flight_data_true_11" localSheetId="1">'Leitura Dados de Vôo'!$D$2:$D$51</definedName>
    <definedName name="P1_flight_data_true_110" localSheetId="1">'Leitura Dados de Vôo'!$D$2:$D$247</definedName>
    <definedName name="P1_flight_data_true_111" localSheetId="1">'Leitura Dados de Vôo'!$D$2:$D$37</definedName>
    <definedName name="P1_flight_data_true_112" localSheetId="1">'Leitura Dados de Vôo'!$D$2:$D$247</definedName>
    <definedName name="P1_flight_data_true_113" localSheetId="1">'Leitura Dados de Vôo'!$D$2:$D$247</definedName>
    <definedName name="P1_flight_data_true_114" localSheetId="1">'Leitura Dados de Vôo'!$D$2:$D$247</definedName>
    <definedName name="P1_flight_data_true_115" localSheetId="1">'Leitura Dados de Vôo'!$D$2:$D$38</definedName>
    <definedName name="P1_flight_data_true_116" localSheetId="1">'Leitura Dados de Vôo'!$D$2:$D$247</definedName>
    <definedName name="P1_flight_data_true_117" localSheetId="1">'Leitura Dados de Vôo'!$D$2:$D$247</definedName>
    <definedName name="P1_flight_data_true_118" localSheetId="1">'Leitura Dados de Vôo'!$D$2:$D$36</definedName>
    <definedName name="P1_flight_data_true_119" localSheetId="1">'Leitura Dados de Vôo'!$D$2:$D$247</definedName>
    <definedName name="P1_flight_data_true_12" localSheetId="1">'Leitura Dados de Vôo'!$D$2:$D$42</definedName>
    <definedName name="P1_flight_data_true_120" localSheetId="1">'Leitura Dados de Vôo'!$D$2:$D$247</definedName>
    <definedName name="P1_flight_data_true_121" localSheetId="1">'Leitura Dados de Vôo'!$D$2:$D$247</definedName>
    <definedName name="P1_flight_data_true_122" localSheetId="1">'Leitura Dados de Vôo'!$D$2:$D$247</definedName>
    <definedName name="P1_flight_data_true_123" localSheetId="1">'Leitura Dados de Vôo'!$D$2:$D$247</definedName>
    <definedName name="P1_flight_data_true_124" localSheetId="1">'Leitura Dados de Vôo'!$D$2:$D$247</definedName>
    <definedName name="P1_flight_data_true_125" localSheetId="1">'Leitura Dados de Vôo'!$D$2:$D$247</definedName>
    <definedName name="P1_flight_data_true_126" localSheetId="1">'Leitura Dados de Vôo'!$D$2:$D$247</definedName>
    <definedName name="P1_flight_data_true_127" localSheetId="1">'Leitura Dados de Vôo'!$D$2:$D$247</definedName>
    <definedName name="P1_flight_data_true_128" localSheetId="1">'Leitura Dados de Vôo'!$D$2:$D$247</definedName>
    <definedName name="P1_flight_data_true_129" localSheetId="1">'Leitura Dados de Vôo'!$D$2:$D$247</definedName>
    <definedName name="P1_flight_data_true_13" localSheetId="1">'Leitura Dados de Vôo'!$D$2:$D$42</definedName>
    <definedName name="P1_flight_data_true_130" localSheetId="1">'Leitura Dados de Vôo'!$D$2:$D$247</definedName>
    <definedName name="P1_flight_data_true_131" localSheetId="1">'Leitura Dados de Vôo'!$D$2:$D$247</definedName>
    <definedName name="P1_flight_data_true_132" localSheetId="1">'Leitura Dados de Vôo'!$D$2:$D$247</definedName>
    <definedName name="P1_flight_data_true_133" localSheetId="1">'Leitura Dados de Vôo'!$D$2:$D$247</definedName>
    <definedName name="P1_flight_data_true_134" localSheetId="1">'Leitura Dados de Vôo'!$D$2:$D$247</definedName>
    <definedName name="P1_flight_data_true_135" localSheetId="1">'Leitura Dados de Vôo'!$D$2:$D$247</definedName>
    <definedName name="P1_flight_data_true_136" localSheetId="1">'Leitura Dados de Vôo'!$D$2:$D$247</definedName>
    <definedName name="P1_flight_data_true_137" localSheetId="1">'Leitura Dados de Vôo'!$D$2:$D$247</definedName>
    <definedName name="P1_flight_data_true_138" localSheetId="1">'Leitura Dados de Vôo'!$D$2:$D$37</definedName>
    <definedName name="P1_flight_data_true_139" localSheetId="1">'Leitura Dados de Vôo'!$D$2:$D$37</definedName>
    <definedName name="P1_flight_data_true_14" localSheetId="1">'Leitura Dados de Vôo'!$D$2:$D$38</definedName>
    <definedName name="P1_flight_data_true_140" localSheetId="1">'Leitura Dados de Vôo'!$D$2:$D$37</definedName>
    <definedName name="P1_flight_data_true_141" localSheetId="1">'Leitura Dados de Vôo'!$D$2:$D$37</definedName>
    <definedName name="P1_flight_data_true_142" localSheetId="1">'Leitura Dados de Vôo'!$D$2:$D$37</definedName>
    <definedName name="P1_flight_data_true_143" localSheetId="1">'Leitura Dados de Vôo'!$D$2:$D$37</definedName>
    <definedName name="P1_flight_data_true_144" localSheetId="1">'Leitura Dados de Vôo'!$D$2:$D$37</definedName>
    <definedName name="P1_flight_data_true_145" localSheetId="1">'Leitura Dados de Vôo'!$D$2:$D$111</definedName>
    <definedName name="P1_flight_data_true_146" localSheetId="1">'Leitura Dados de Vôo'!$D$2:$D$111</definedName>
    <definedName name="P1_flight_data_true_147" localSheetId="1">'Leitura Dados de Vôo'!$D$2:$D$111</definedName>
    <definedName name="P1_flight_data_true_148" localSheetId="1">'Leitura Dados de Vôo'!$D$2:$D$111</definedName>
    <definedName name="P1_flight_data_true_149" localSheetId="1">'Leitura Dados de Vôo'!$D$2:$D$111</definedName>
    <definedName name="P1_flight_data_true_15" localSheetId="1">'Leitura Dados de Vôo'!$D$2:$D$39</definedName>
    <definedName name="P1_flight_data_true_150" localSheetId="1">'Leitura Dados de Vôo'!$D$2:$D$226</definedName>
    <definedName name="P1_flight_data_true_151" localSheetId="1">'Leitura Dados de Vôo'!$D$2:$D$111</definedName>
    <definedName name="P1_flight_data_true_152" localSheetId="1">'Leitura Dados de Vôo'!$D$2:$D$111</definedName>
    <definedName name="P1_flight_data_true_153" localSheetId="1">'Leitura Dados de Vôo'!$D$2:$D$111</definedName>
    <definedName name="P1_flight_data_true_154" localSheetId="1">'Leitura Dados de Vôo'!$D$2:$D$111</definedName>
    <definedName name="P1_flight_data_true_155" localSheetId="1">'Leitura Dados de Vôo'!$D$2:$D$205</definedName>
    <definedName name="P1_flight_data_true_156" localSheetId="1">'Leitura Dados de Vôo'!$D$2:$D$202</definedName>
    <definedName name="P1_flight_data_true_157" localSheetId="1">'Leitura Dados de Vôo'!$D$2:$D$202</definedName>
    <definedName name="P1_flight_data_true_158" localSheetId="1">'Leitura Dados de Vôo'!$D$2:$D$123</definedName>
    <definedName name="P1_flight_data_true_159" localSheetId="1">'Leitura Dados de Vôo'!$D$2:$D$65</definedName>
    <definedName name="P1_flight_data_true_16" localSheetId="1">'Leitura Dados de Vôo'!$D$2:$D$39</definedName>
    <definedName name="P1_flight_data_true_17" localSheetId="1">'Leitura Dados de Vôo'!$D$2:$D$44</definedName>
    <definedName name="P1_flight_data_true_18" localSheetId="1">'Leitura Dados de Vôo'!$D$2:$D$41</definedName>
    <definedName name="P1_flight_data_true_19" localSheetId="1">'Leitura Dados de Vôo'!$D$2:$D$37</definedName>
    <definedName name="P1_flight_data_true_2" localSheetId="1">'Leitura Dados de Vôo'!$D$2:$D$95</definedName>
    <definedName name="P1_flight_data_true_20" localSheetId="1">'Leitura Dados de Vôo'!$D$2:$D$37</definedName>
    <definedName name="P1_flight_data_true_21" localSheetId="1">'Leitura Dados de Vôo'!$D$2:$D$38</definedName>
    <definedName name="P1_flight_data_true_22" localSheetId="1">'Leitura Dados de Vôo'!$D$2:$D$38</definedName>
    <definedName name="P1_flight_data_true_23" localSheetId="1">'Leitura Dados de Vôo'!$D$2:$D$36</definedName>
    <definedName name="P1_flight_data_true_24" localSheetId="1">'Leitura Dados de Vôo'!$D$2:$D$37</definedName>
    <definedName name="P1_flight_data_true_25" localSheetId="1">'Leitura Dados de Vôo'!$D$2:$D$36</definedName>
    <definedName name="P1_flight_data_true_26" localSheetId="1">'Leitura Dados de Vôo'!$D$2:$D$35</definedName>
    <definedName name="P1_flight_data_true_27" localSheetId="1">'Leitura Dados de Vôo'!$D$2:$D$35</definedName>
    <definedName name="P1_flight_data_true_28" localSheetId="1">'Leitura Dados de Vôo'!$D$2:$D$35</definedName>
    <definedName name="P1_flight_data_true_29" localSheetId="1">'Leitura Dados de Vôo'!$D$2:$D$36</definedName>
    <definedName name="P1_flight_data_true_3" localSheetId="1">'Leitura Dados de Vôo'!$D$2:$D$95</definedName>
    <definedName name="P1_flight_data_true_30" localSheetId="1">'Leitura Dados de Vôo'!$D$2:$D$34</definedName>
    <definedName name="P1_flight_data_true_31" localSheetId="1">'Leitura Dados de Vôo'!$D$2:$D$35</definedName>
    <definedName name="P1_flight_data_true_32" localSheetId="1">'Leitura Dados de Vôo'!$D$2:$D$35</definedName>
    <definedName name="P1_flight_data_true_33" localSheetId="1">'Leitura Dados de Vôo'!$D$2:$D$41</definedName>
    <definedName name="P1_flight_data_true_34" localSheetId="1">'Leitura Dados de Vôo'!$D$2:$D$35</definedName>
    <definedName name="P1_flight_data_true_35" localSheetId="1">'Leitura Dados de Vôo'!$D$2:$D$39</definedName>
    <definedName name="P1_flight_data_true_36" localSheetId="1">'Leitura Dados de Vôo'!$D$2:$D$39</definedName>
    <definedName name="P1_flight_data_true_37" localSheetId="1">'Leitura Dados de Vôo'!$D$2:$D$37</definedName>
    <definedName name="P1_flight_data_true_38" localSheetId="1">'Leitura Dados de Vôo'!$D$2:$D$39</definedName>
    <definedName name="P1_flight_data_true_39" localSheetId="1">'Leitura Dados de Vôo'!$D$2:$D$36</definedName>
    <definedName name="P1_flight_data_true_4" localSheetId="1">'Leitura Dados de Vôo'!$D$2:$D$50</definedName>
    <definedName name="P1_flight_data_true_40" localSheetId="1">'Leitura Dados de Vôo'!$D$2:$D$38</definedName>
    <definedName name="P1_flight_data_true_41" localSheetId="1">'Leitura Dados de Vôo'!$D$2:$D$10</definedName>
    <definedName name="P1_flight_data_true_42" localSheetId="1">'Leitura Dados de Vôo'!$D$2:$D$10</definedName>
    <definedName name="P1_flight_data_true_43" localSheetId="1">'Leitura Dados de Vôo'!$D$2:$D$10</definedName>
    <definedName name="P1_flight_data_true_44" localSheetId="1">'Leitura Dados de Vôo'!$D$2:$D$10</definedName>
    <definedName name="P1_flight_data_true_45" localSheetId="1">'Leitura Dados de Vôo'!$D$2:$D$10</definedName>
    <definedName name="P1_flight_data_true_46" localSheetId="1">'Leitura Dados de Vôo'!$D$2:$D$10</definedName>
    <definedName name="P1_flight_data_true_47" localSheetId="1">'Leitura Dados de Vôo'!$D$2:$D$39</definedName>
    <definedName name="P1_flight_data_true_48" localSheetId="1">'Leitura Dados de Vôo'!$D$2:$D$41</definedName>
    <definedName name="P1_flight_data_true_49" localSheetId="1">'Leitura Dados de Vôo'!$D$2:$D$10</definedName>
    <definedName name="P1_flight_data_true_5" localSheetId="1">'Leitura Dados de Vôo'!$D$2:$D$50</definedName>
    <definedName name="P1_flight_data_true_50" localSheetId="1">'Leitura Dados de Vôo'!$D$2:$D$88</definedName>
    <definedName name="P1_flight_data_true_51" localSheetId="1">'Leitura Dados de Vôo'!$D$2:$D$88</definedName>
    <definedName name="P1_flight_data_true_52" localSheetId="1">'Leitura Dados de Vôo'!$D$2:$D$35</definedName>
    <definedName name="P1_flight_data_true_53" localSheetId="1">'Leitura Dados de Vôo'!$D$2:$D$42</definedName>
    <definedName name="P1_flight_data_true_54" localSheetId="1">'Leitura Dados de Vôo'!$D$2:$D$38</definedName>
    <definedName name="P1_flight_data_true_55" localSheetId="1">'Leitura Dados de Vôo'!$D$2:$D$37</definedName>
    <definedName name="P1_flight_data_true_56" localSheetId="1">'Leitura Dados de Vôo'!$D$2:$D$39</definedName>
    <definedName name="P1_flight_data_true_57" localSheetId="1">'Leitura Dados de Vôo'!$D$2:$D$39</definedName>
    <definedName name="P1_flight_data_true_58" localSheetId="1">'Leitura Dados de Vôo'!$D$2:$D$39</definedName>
    <definedName name="P1_flight_data_true_59" localSheetId="1">'Leitura Dados de Vôo'!$D$2:$D$42</definedName>
    <definedName name="P1_flight_data_true_6" localSheetId="1">'Leitura Dados de Vôo'!$D$2:$D$50</definedName>
    <definedName name="P1_flight_data_true_60" localSheetId="1">'Leitura Dados de Vôo'!$D$2:$D$42</definedName>
    <definedName name="P1_flight_data_true_61" localSheetId="1">'Leitura Dados de Vôo'!$D$2:$D$37</definedName>
    <definedName name="P1_flight_data_true_62" localSheetId="1">'Leitura Dados de Vôo'!$D$2:$D$37</definedName>
    <definedName name="P1_flight_data_true_63" localSheetId="1">'Leitura Dados de Vôo'!$D$2:$D$37</definedName>
    <definedName name="P1_flight_data_true_64" localSheetId="1">'Leitura Dados de Vôo'!$D$2:$D$40</definedName>
    <definedName name="P1_flight_data_true_65" localSheetId="1">'Leitura Dados de Vôo'!$D$2:$D$46</definedName>
    <definedName name="P1_flight_data_true_66" localSheetId="1">'Leitura Dados de Vôo'!$D$2:$D$40</definedName>
    <definedName name="P1_flight_data_true_67" localSheetId="1">'Leitura Dados de Vôo'!$D$2:$D$39</definedName>
    <definedName name="P1_flight_data_true_68" localSheetId="1">'Leitura Dados de Vôo'!$D$2:$D$43</definedName>
    <definedName name="P1_flight_data_true_69" localSheetId="1">'Leitura Dados de Vôo'!$D$2:$D$39</definedName>
    <definedName name="P1_flight_data_true_7" localSheetId="1">'Leitura Dados de Vôo'!#REF!</definedName>
    <definedName name="P1_flight_data_true_70" localSheetId="1">'Leitura Dados de Vôo'!$D$2:$D$38</definedName>
    <definedName name="P1_flight_data_true_71" localSheetId="1">'Leitura Dados de Vôo'!$D$2:$D$38</definedName>
    <definedName name="P1_flight_data_true_72" localSheetId="1">'Leitura Dados de Vôo'!$D$2:$D$37</definedName>
    <definedName name="P1_flight_data_true_73" localSheetId="1">'Leitura Dados de Vôo'!$D$2:$D$36</definedName>
    <definedName name="P1_flight_data_true_74" localSheetId="1">'Leitura Dados de Vôo'!$D$2:$D$95</definedName>
    <definedName name="P1_flight_data_true_75" localSheetId="1">'Leitura Dados de Vôo'!$D$2:$D$42</definedName>
    <definedName name="P1_flight_data_true_76" localSheetId="1">'Leitura Dados de Vôo'!$D$2:$D$112</definedName>
    <definedName name="P1_flight_data_true_77" localSheetId="1">'Leitura Dados de Vôo'!$D$2:$D$38</definedName>
    <definedName name="P1_flight_data_true_78" localSheetId="1">'Leitura Dados de Vôo'!$D$2:$D$39</definedName>
    <definedName name="P1_flight_data_true_79" localSheetId="1">'Leitura Dados de Vôo'!$D$2:$D$39</definedName>
    <definedName name="P1_flight_data_true_8" localSheetId="1">'Leitura Dados de Vôo'!$D$2:$D$50</definedName>
    <definedName name="P1_flight_data_true_80" localSheetId="1">'Leitura Dados de Vôo'!$D$2:$D$39</definedName>
    <definedName name="P1_flight_data_true_81" localSheetId="1">'Leitura Dados de Vôo'!$D$2:$D$32</definedName>
    <definedName name="P1_flight_data_true_82" localSheetId="1">'Leitura Dados de Vôo'!$D$2:$D$32</definedName>
    <definedName name="P1_flight_data_true_83" localSheetId="1">'Leitura Dados de Vôo'!$D$2:$D$32</definedName>
    <definedName name="P1_flight_data_true_84" localSheetId="1">'Leitura Dados de Vôo'!$D$2:$D$32</definedName>
    <definedName name="P1_flight_data_true_85" localSheetId="1">'Leitura Dados de Vôo'!$D$2:$D$32</definedName>
    <definedName name="P1_flight_data_true_86" localSheetId="1">'Leitura Dados de Vôo'!$D$2:$D$10</definedName>
    <definedName name="P1_flight_data_true_87" localSheetId="1">'Leitura Dados de Vôo'!$D$2:$D$11</definedName>
    <definedName name="P1_flight_data_true_88" localSheetId="1">'Leitura Dados de Vôo'!$D$2:$D$27</definedName>
    <definedName name="P1_flight_data_true_89" localSheetId="1">'Leitura Dados de Vôo'!$D$2:$D$27</definedName>
    <definedName name="P1_flight_data_true_9" localSheetId="1">'Leitura Dados de Vôo'!$D$2:$D$51</definedName>
    <definedName name="P1_flight_data_true_90" localSheetId="1">'Leitura Dados de Vôo'!$D$2:$D$27</definedName>
    <definedName name="P1_flight_data_true_91" localSheetId="1">'Leitura Dados de Vôo'!$D$2:$D$28</definedName>
    <definedName name="P1_flight_data_true_92" localSheetId="1">'Leitura Dados de Vôo'!$D$2:$D$69</definedName>
    <definedName name="P1_flight_data_true_93" localSheetId="1">'Leitura Dados de Vôo'!$D$2:$D$11</definedName>
    <definedName name="P1_flight_data_true_94" localSheetId="1">'Leitura Dados de Vôo'!$D$2:$D$38</definedName>
    <definedName name="P1_flight_data_true_95" localSheetId="1">'Leitura Dados de Vôo'!$D$2:$D$15</definedName>
    <definedName name="P1_flight_data_true_96" localSheetId="1">'Leitura Dados de Vôo'!$D$2:$D$15</definedName>
    <definedName name="P1_flight_data_true_97" localSheetId="1">'Leitura Dados de Vôo'!$D$2:$D$53</definedName>
    <definedName name="P1_flight_data_true_98" localSheetId="1">'Leitura Dados de Vôo'!$D$2:$D$45</definedName>
    <definedName name="P1_flight_data_true_99" localSheetId="1">'Leitura Dados de Vôo'!$D$2:$D$40</definedName>
    <definedName name="P1_timestamps" localSheetId="1">'Leitura Dados de Vôo'!$A$8:$A$226</definedName>
    <definedName name="P1_timestamps_1" localSheetId="1">'Leitura Dados de Vôo'!$A$8:$A$111</definedName>
    <definedName name="P1_timestamps_2" localSheetId="1">'Leitura Dados de Vôo'!$A$8:$A$111</definedName>
    <definedName name="P1_timestamps_3" localSheetId="1">'Leitura Dados de Vôo'!$A$8:$A$111</definedName>
    <definedName name="P1_timestamps_4" localSheetId="1">'Leitura Dados de Vôo'!$A$8:$A$111</definedName>
    <definedName name="P1_timestamps_5" localSheetId="1">'Leitura Dados de Vôo'!$A$8:$A$205</definedName>
    <definedName name="P1_timestamps_6" localSheetId="1">'Leitura Dados de Vôo'!$A$8:$A$202</definedName>
    <definedName name="P1_timestamps_7" localSheetId="1">'Leitura Dados de Vôo'!$A$8:$A$202</definedName>
    <definedName name="P1_timestamps_8" localSheetId="1">'Leitura Dados de Vôo'!$A$8:$A$123</definedName>
    <definedName name="P1_timestamps_9" localSheetId="1">'Leitura Dados de Vôo'!$A$8:$A$65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48" i="65" l="1"/>
  <c r="E248" i="65"/>
  <c r="E247" i="65"/>
  <c r="E246" i="65"/>
  <c r="E245" i="65"/>
  <c r="E244" i="65"/>
  <c r="E243" i="65"/>
  <c r="E242" i="65"/>
  <c r="E241" i="65"/>
  <c r="E240" i="65"/>
  <c r="E239" i="65"/>
  <c r="E238" i="65"/>
  <c r="E237" i="65"/>
  <c r="E236" i="65"/>
  <c r="E235" i="65"/>
  <c r="E234" i="65"/>
  <c r="E233" i="65"/>
  <c r="E232" i="65"/>
  <c r="E231" i="65"/>
  <c r="E230" i="65"/>
  <c r="E229" i="65"/>
  <c r="E228" i="65"/>
  <c r="E227" i="65"/>
  <c r="E226" i="65"/>
  <c r="E225" i="65"/>
  <c r="E224" i="65"/>
  <c r="E223" i="65"/>
  <c r="E222" i="65"/>
  <c r="E221" i="65"/>
  <c r="E220" i="65"/>
  <c r="E219" i="65"/>
  <c r="E218" i="65"/>
  <c r="E217" i="65"/>
  <c r="E216" i="65"/>
  <c r="E215" i="65"/>
  <c r="E214" i="65"/>
  <c r="E213" i="65"/>
  <c r="E212" i="65"/>
  <c r="E211" i="65"/>
  <c r="E210" i="65"/>
  <c r="E209" i="65"/>
  <c r="E208" i="65"/>
  <c r="E207" i="65"/>
  <c r="E206" i="65"/>
  <c r="E205" i="65"/>
  <c r="E204" i="65"/>
  <c r="E203" i="65"/>
  <c r="E202" i="65"/>
  <c r="E201" i="65"/>
  <c r="E200" i="65"/>
  <c r="E199" i="65"/>
  <c r="E198" i="65"/>
  <c r="E197" i="65"/>
  <c r="E196" i="65"/>
  <c r="E195" i="65"/>
  <c r="E194" i="65"/>
  <c r="E193" i="65"/>
  <c r="E192" i="65"/>
  <c r="E191" i="65"/>
  <c r="E190" i="65"/>
  <c r="E189" i="65"/>
  <c r="E188" i="65"/>
  <c r="E187" i="65"/>
  <c r="E186" i="65"/>
  <c r="E185" i="65"/>
  <c r="E184" i="65"/>
  <c r="E183" i="65"/>
  <c r="E182" i="65"/>
  <c r="E181" i="65"/>
  <c r="E180" i="65"/>
  <c r="E179" i="65"/>
  <c r="E178" i="65"/>
  <c r="E177" i="65"/>
  <c r="E176" i="65"/>
  <c r="E175" i="65"/>
  <c r="E174" i="65"/>
  <c r="E173" i="65"/>
  <c r="E172" i="65"/>
  <c r="E171" i="65"/>
  <c r="E170" i="65"/>
  <c r="E169" i="65"/>
  <c r="E168" i="65"/>
  <c r="E167" i="65"/>
  <c r="E166" i="65"/>
  <c r="E165" i="65"/>
  <c r="E164" i="65"/>
  <c r="E163" i="65"/>
  <c r="E162" i="65"/>
  <c r="E161" i="65"/>
  <c r="E160" i="65"/>
  <c r="E159" i="65"/>
  <c r="E158" i="65"/>
  <c r="E157" i="65"/>
  <c r="E156" i="65"/>
  <c r="E155" i="65"/>
  <c r="E154" i="65"/>
  <c r="E153" i="65"/>
  <c r="E152" i="65"/>
  <c r="E151" i="65"/>
  <c r="E150" i="65"/>
  <c r="E149" i="65"/>
  <c r="E148" i="65"/>
  <c r="E147" i="65"/>
  <c r="E146" i="65"/>
  <c r="E145" i="65"/>
  <c r="E144" i="65"/>
  <c r="E143" i="65"/>
  <c r="E142" i="65"/>
  <c r="E141" i="65"/>
  <c r="E140" i="65"/>
  <c r="E139" i="65"/>
  <c r="E138" i="65"/>
  <c r="E137" i="65"/>
  <c r="E136" i="65"/>
  <c r="E135" i="65"/>
  <c r="E134" i="65"/>
  <c r="E133" i="65"/>
  <c r="E132" i="65"/>
  <c r="E131" i="65"/>
  <c r="E130" i="65"/>
  <c r="E129" i="65"/>
  <c r="E128" i="65"/>
  <c r="E127" i="65"/>
  <c r="E126" i="65"/>
  <c r="E125" i="65"/>
  <c r="E124" i="65"/>
  <c r="E123" i="65"/>
  <c r="E122" i="65"/>
  <c r="E121" i="65"/>
  <c r="E120" i="65"/>
  <c r="E119" i="65"/>
  <c r="E118" i="65"/>
  <c r="E117" i="65"/>
  <c r="E116" i="65"/>
  <c r="E115" i="65"/>
  <c r="E114" i="65"/>
  <c r="E113" i="65"/>
  <c r="E112" i="65"/>
  <c r="E111" i="65"/>
  <c r="E110" i="65"/>
  <c r="E109" i="65"/>
  <c r="E108" i="65"/>
  <c r="E107" i="65"/>
  <c r="E106" i="65"/>
  <c r="E105" i="65"/>
  <c r="E104" i="65"/>
  <c r="E103" i="65"/>
  <c r="E102" i="65"/>
  <c r="E101" i="65"/>
  <c r="E100" i="65"/>
  <c r="E99" i="65"/>
  <c r="E98" i="65"/>
  <c r="E97" i="65"/>
  <c r="E96" i="65"/>
  <c r="E95" i="65"/>
  <c r="E94" i="65"/>
  <c r="E93" i="65"/>
  <c r="E92" i="65"/>
  <c r="E91" i="65"/>
  <c r="E90" i="65"/>
  <c r="E89" i="65"/>
  <c r="E88" i="65"/>
  <c r="E87" i="65"/>
  <c r="E86" i="65"/>
  <c r="E85" i="65"/>
  <c r="E84" i="65"/>
  <c r="E83" i="65"/>
  <c r="E82" i="65"/>
  <c r="E81" i="65"/>
  <c r="E80" i="65"/>
  <c r="E79" i="65"/>
  <c r="E78" i="65"/>
  <c r="E77" i="65"/>
  <c r="E76" i="65"/>
  <c r="E75" i="65"/>
  <c r="E74" i="65"/>
  <c r="E73" i="65"/>
  <c r="E72" i="65"/>
  <c r="E71" i="65"/>
  <c r="E70" i="65"/>
  <c r="E69" i="65"/>
  <c r="E68" i="65"/>
  <c r="E67" i="65"/>
  <c r="E66" i="65"/>
  <c r="E65" i="65"/>
  <c r="E64" i="65"/>
  <c r="E63" i="65"/>
  <c r="E62" i="65"/>
  <c r="E61" i="65"/>
  <c r="E60" i="65"/>
  <c r="E59" i="65"/>
  <c r="E58" i="65"/>
  <c r="E57" i="65"/>
  <c r="E56" i="65"/>
  <c r="E55" i="65"/>
  <c r="E54" i="65"/>
  <c r="E53" i="65"/>
  <c r="E52" i="65"/>
  <c r="B9" i="31" l="1"/>
  <c r="B4" i="31" s="1"/>
  <c r="E50" i="65" l="1"/>
  <c r="E42" i="65"/>
  <c r="E34" i="65"/>
  <c r="E26" i="65"/>
  <c r="E18" i="65"/>
  <c r="E10" i="65"/>
  <c r="E41" i="65"/>
  <c r="E25" i="65"/>
  <c r="E17" i="65"/>
  <c r="E40" i="65"/>
  <c r="E16" i="65"/>
  <c r="E47" i="65"/>
  <c r="E15" i="65"/>
  <c r="E30" i="65"/>
  <c r="E45" i="65"/>
  <c r="E35" i="65"/>
  <c r="E49" i="65"/>
  <c r="E33" i="65"/>
  <c r="E9" i="65"/>
  <c r="E48" i="65"/>
  <c r="E24" i="65"/>
  <c r="E8" i="65"/>
  <c r="E39" i="65"/>
  <c r="E22" i="65"/>
  <c r="E21" i="65"/>
  <c r="E32" i="65"/>
  <c r="E23" i="65"/>
  <c r="E14" i="65"/>
  <c r="E12" i="65"/>
  <c r="E43" i="65"/>
  <c r="E19" i="65"/>
  <c r="E31" i="65"/>
  <c r="E38" i="65"/>
  <c r="E37" i="65"/>
  <c r="E46" i="65"/>
  <c r="E29" i="65"/>
  <c r="E27" i="65"/>
  <c r="E13" i="65"/>
  <c r="E44" i="65"/>
  <c r="E36" i="65"/>
  <c r="E28" i="65"/>
  <c r="E20" i="65"/>
  <c r="E51" i="65"/>
  <c r="E11" i="65"/>
  <c r="E3" i="65"/>
  <c r="E4" i="65"/>
  <c r="B7" i="31"/>
  <c r="F244" i="65" l="1"/>
  <c r="F240" i="65"/>
  <c r="F236" i="65"/>
  <c r="F232" i="65"/>
  <c r="F228" i="65"/>
  <c r="F224" i="65"/>
  <c r="F220" i="65"/>
  <c r="F216" i="65"/>
  <c r="F212" i="65"/>
  <c r="F208" i="65"/>
  <c r="F204" i="65"/>
  <c r="F200" i="65"/>
  <c r="F196" i="65"/>
  <c r="F108" i="65"/>
  <c r="F141" i="65"/>
  <c r="F110" i="65"/>
  <c r="F238" i="65"/>
  <c r="F215" i="65"/>
  <c r="F184" i="65"/>
  <c r="F209" i="65"/>
  <c r="F154" i="65"/>
  <c r="F218" i="65"/>
  <c r="F164" i="65"/>
  <c r="F197" i="65"/>
  <c r="F182" i="65"/>
  <c r="F159" i="65"/>
  <c r="F128" i="65"/>
  <c r="F163" i="65"/>
  <c r="F126" i="65"/>
  <c r="F97" i="65"/>
  <c r="F226" i="65"/>
  <c r="F198" i="65"/>
  <c r="F169" i="65"/>
  <c r="F235" i="65"/>
  <c r="F142" i="65"/>
  <c r="F247" i="65"/>
  <c r="F170" i="65"/>
  <c r="F101" i="65"/>
  <c r="F191" i="65"/>
  <c r="F115" i="65"/>
  <c r="F221" i="65"/>
  <c r="F161" i="65"/>
  <c r="F194" i="65"/>
  <c r="F111" i="65"/>
  <c r="F139" i="65"/>
  <c r="F156" i="65"/>
  <c r="F189" i="65"/>
  <c r="F158" i="65"/>
  <c r="F135" i="65"/>
  <c r="F104" i="65"/>
  <c r="F129" i="65"/>
  <c r="F114" i="65"/>
  <c r="F178" i="65"/>
  <c r="F242" i="65"/>
  <c r="F117" i="65"/>
  <c r="F245" i="65"/>
  <c r="F230" i="65"/>
  <c r="F207" i="65"/>
  <c r="F176" i="65"/>
  <c r="F201" i="65"/>
  <c r="F123" i="65"/>
  <c r="F187" i="65"/>
  <c r="F172" i="65"/>
  <c r="F205" i="65"/>
  <c r="F174" i="65"/>
  <c r="F151" i="65"/>
  <c r="F120" i="65"/>
  <c r="F145" i="65"/>
  <c r="F122" i="65"/>
  <c r="F186" i="65"/>
  <c r="F100" i="65"/>
  <c r="F133" i="65"/>
  <c r="F118" i="65"/>
  <c r="F246" i="65"/>
  <c r="F223" i="65"/>
  <c r="F192" i="65"/>
  <c r="F217" i="65"/>
  <c r="F131" i="65"/>
  <c r="F195" i="65"/>
  <c r="F188" i="65"/>
  <c r="F136" i="65"/>
  <c r="F130" i="65"/>
  <c r="F134" i="65"/>
  <c r="F241" i="65"/>
  <c r="F109" i="65"/>
  <c r="F237" i="65"/>
  <c r="F206" i="65"/>
  <c r="F183" i="65"/>
  <c r="F152" i="65"/>
  <c r="F177" i="65"/>
  <c r="F138" i="65"/>
  <c r="F202" i="65"/>
  <c r="F132" i="65"/>
  <c r="F165" i="65"/>
  <c r="F150" i="65"/>
  <c r="F127" i="65"/>
  <c r="F96" i="65"/>
  <c r="F121" i="65"/>
  <c r="F98" i="65"/>
  <c r="F147" i="65"/>
  <c r="F211" i="65"/>
  <c r="F99" i="65"/>
  <c r="F227" i="65"/>
  <c r="F157" i="65"/>
  <c r="F103" i="65"/>
  <c r="F225" i="65"/>
  <c r="F180" i="65"/>
  <c r="F175" i="65"/>
  <c r="F107" i="65"/>
  <c r="F140" i="65"/>
  <c r="F113" i="65"/>
  <c r="F234" i="65"/>
  <c r="F214" i="65"/>
  <c r="F185" i="65"/>
  <c r="F243" i="65"/>
  <c r="F190" i="65"/>
  <c r="F149" i="65"/>
  <c r="F105" i="65"/>
  <c r="F125" i="65"/>
  <c r="F102" i="65"/>
  <c r="F222" i="65"/>
  <c r="F199" i="65"/>
  <c r="F168" i="65"/>
  <c r="F193" i="65"/>
  <c r="F146" i="65"/>
  <c r="F210" i="65"/>
  <c r="F148" i="65"/>
  <c r="F181" i="65"/>
  <c r="F166" i="65"/>
  <c r="F143" i="65"/>
  <c r="F112" i="65"/>
  <c r="F137" i="65"/>
  <c r="F106" i="65"/>
  <c r="F155" i="65"/>
  <c r="F219" i="65"/>
  <c r="F153" i="65"/>
  <c r="F124" i="65"/>
  <c r="F231" i="65"/>
  <c r="F162" i="65"/>
  <c r="F213" i="65"/>
  <c r="F144" i="65"/>
  <c r="F171" i="65"/>
  <c r="F173" i="65"/>
  <c r="F119" i="65"/>
  <c r="F233" i="65"/>
  <c r="F229" i="65"/>
  <c r="F160" i="65"/>
  <c r="F179" i="65"/>
  <c r="F167" i="65"/>
  <c r="F116" i="65"/>
  <c r="F239" i="65"/>
  <c r="F203" i="65"/>
  <c r="F92" i="65"/>
  <c r="F89" i="65"/>
  <c r="F93" i="65"/>
  <c r="F95" i="65"/>
  <c r="F90" i="65"/>
  <c r="F94" i="65"/>
  <c r="F91" i="65"/>
  <c r="F84" i="65"/>
  <c r="F56" i="65"/>
  <c r="F61" i="65"/>
  <c r="F88" i="65"/>
  <c r="F78" i="65"/>
  <c r="F55" i="65"/>
  <c r="F64" i="65"/>
  <c r="F60" i="65"/>
  <c r="F63" i="65"/>
  <c r="F58" i="65"/>
  <c r="F74" i="65"/>
  <c r="F62" i="65"/>
  <c r="F87" i="65"/>
  <c r="F67" i="65"/>
  <c r="F76" i="65"/>
  <c r="F86" i="65"/>
  <c r="F65" i="65"/>
  <c r="F53" i="65"/>
  <c r="F70" i="65"/>
  <c r="F85" i="65"/>
  <c r="F72" i="65"/>
  <c r="F52" i="65"/>
  <c r="F75" i="65"/>
  <c r="F81" i="65"/>
  <c r="F71" i="65"/>
  <c r="F54" i="65"/>
  <c r="F66" i="65"/>
  <c r="F82" i="65"/>
  <c r="F69" i="65"/>
  <c r="F68" i="65"/>
  <c r="F83" i="65"/>
  <c r="F80" i="65"/>
  <c r="F79" i="65"/>
  <c r="F73" i="65"/>
  <c r="F59" i="65"/>
  <c r="F77" i="65"/>
  <c r="F57" i="65"/>
  <c r="F51" i="65"/>
  <c r="F21" i="65"/>
  <c r="F41" i="65"/>
  <c r="F49" i="65"/>
  <c r="F17" i="65"/>
  <c r="F35" i="65"/>
  <c r="F40" i="65"/>
  <c r="F48" i="65"/>
  <c r="F29" i="65"/>
  <c r="F47" i="65"/>
  <c r="F12" i="65"/>
  <c r="F42" i="65"/>
  <c r="F39" i="65"/>
  <c r="F33" i="65"/>
  <c r="F25" i="65"/>
  <c r="F19" i="65"/>
  <c r="F46" i="65"/>
  <c r="F50" i="65"/>
  <c r="F43" i="65"/>
  <c r="F23" i="65"/>
  <c r="F8" i="65"/>
  <c r="F11" i="65"/>
  <c r="F26" i="65"/>
  <c r="F13" i="65"/>
  <c r="F10" i="65"/>
  <c r="F18" i="65"/>
  <c r="F16" i="65"/>
  <c r="F30" i="65"/>
  <c r="F24" i="65"/>
  <c r="F20" i="65"/>
  <c r="F22" i="65"/>
  <c r="F15" i="65"/>
  <c r="F45" i="65"/>
  <c r="F37" i="65"/>
  <c r="F31" i="65"/>
  <c r="F27" i="65"/>
  <c r="F28" i="65"/>
  <c r="F14" i="65"/>
  <c r="F9" i="65"/>
  <c r="F38" i="65"/>
  <c r="F34" i="65"/>
  <c r="F32" i="65"/>
  <c r="F36" i="65"/>
  <c r="F44" i="65"/>
  <c r="F4" i="6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flight_data_raw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" xr16:uid="{00000000-0015-0000-FFFF-FFFF01000000}" name="flight_data_raw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" xr16:uid="{00000000-0015-0000-FFFF-FFFF02000000}" name="flight_data_raw10" type="6" refreshedVersion="6" background="1" saveData="1">
    <textPr prompt="0" codePage="437" sourceFile="C:\Leitor_MAU\flight_data_raw.txt" tab="0">
      <textFields>
        <textField/>
      </textFields>
    </textPr>
  </connection>
  <connection id="4" xr16:uid="{00000000-0015-0000-FFFF-FFFF03000000}" name="flight_data_raw11" type="6" refreshedVersion="6" background="1" saveData="1">
    <textPr prompt="0" codePage="437" sourceFile="C:\Leitor_MAU\flight_data_raw.txt" tab="0">
      <textFields>
        <textField/>
      </textFields>
    </textPr>
  </connection>
  <connection id="5" xr16:uid="{00000000-0015-0000-FFFF-FFFF04000000}" name="flight_data_raw12" type="6" refreshedVersion="6" background="1" saveData="1">
    <textPr prompt="0" codePage="437" sourceFile="C:\Leitor_MAU\flight_data_raw.txt" tab="0">
      <textFields>
        <textField/>
      </textFields>
    </textPr>
  </connection>
  <connection id="6" xr16:uid="{00000000-0015-0000-FFFF-FFFF05000000}" name="flight_data_raw13" type="6" refreshedVersion="6" background="1" saveData="1">
    <textPr prompt="0" codePage="437" sourceFile="C:\Leitor_MAU\flight_data_raw.txt" tab="0">
      <textFields>
        <textField/>
      </textFields>
    </textPr>
  </connection>
  <connection id="7" xr16:uid="{00000000-0015-0000-FFFF-FFFF06000000}" name="flight_data_raw14" type="6" refreshedVersion="6" background="1" saveData="1">
    <textPr prompt="0" codePage="437" sourceFile="C:\Leitor_MAU\flight_data_raw.txt" tab="0">
      <textFields>
        <textField/>
      </textFields>
    </textPr>
  </connection>
  <connection id="8" xr16:uid="{00000000-0015-0000-FFFF-FFFF07000000}" name="flight_data_raw15" type="6" refreshedVersion="6" background="1" saveData="1">
    <textPr prompt="0" codePage="437" sourceFile="C:\Leitor_MAU\flight_data_raw.txt" tab="0">
      <textFields>
        <textField/>
      </textFields>
    </textPr>
  </connection>
  <connection id="9" xr16:uid="{00000000-0015-0000-FFFF-FFFF08000000}" name="flight_data_raw16" type="6" refreshedVersion="6" background="1" saveData="1">
    <textPr prompt="0" codePage="437" sourceFile="C:\Leitor_MAU\flight_data_raw.txt" tab="0" delimiter="_">
      <textFields>
        <textField/>
      </textFields>
    </textPr>
  </connection>
  <connection id="10" xr16:uid="{00000000-0015-0000-FFFF-FFFF09000000}" name="flight_data_raw17" type="6" refreshedVersion="6" background="1" saveData="1">
    <textPr prompt="0" codePage="437" sourceFile="C:\Leitor_MAU\flight_data_raw.txt" tab="0">
      <textFields>
        <textField/>
      </textFields>
    </textPr>
  </connection>
  <connection id="11" xr16:uid="{00000000-0015-0000-FFFF-FFFF0A000000}" name="flight_data_raw18" type="6" refreshedVersion="6" background="1" saveData="1">
    <textPr prompt="0" codePage="437" sourceFile="C:\Leitor_MAU\flight_data_raw.txt" tab="0">
      <textFields>
        <textField/>
      </textFields>
    </textPr>
  </connection>
  <connection id="12" xr16:uid="{00000000-0015-0000-FFFF-FFFF0B000000}" name="flight_data_raw19" type="6" refreshedVersion="6" background="1" saveData="1">
    <textPr prompt="0" codePage="437" sourceFile="C:\Leitor_MAU\flight_data_raw.txt" tab="0">
      <textFields>
        <textField/>
      </textFields>
    </textPr>
  </connection>
  <connection id="13" xr16:uid="{00000000-0015-0000-FFFF-FFFF0C000000}" name="flight_data_raw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" xr16:uid="{00000000-0015-0000-FFFF-FFFF0D000000}" name="flight_data_raw20" type="6" refreshedVersion="6" background="1" saveData="1">
    <textPr prompt="0" codePage="437" sourceFile="C:\Leitor_MAU\flight_data_raw.txt" tab="0">
      <textFields>
        <textField/>
      </textFields>
    </textPr>
  </connection>
  <connection id="15" xr16:uid="{00000000-0015-0000-FFFF-FFFF0E000000}" name="flight_data_raw21" type="6" refreshedVersion="6" background="1" saveData="1">
    <textPr prompt="0" codePage="437" sourceFile="C:\Leitor_MAU\flight_data_raw.txt" tab="0">
      <textFields>
        <textField/>
      </textFields>
    </textPr>
  </connection>
  <connection id="16" xr16:uid="{00000000-0015-0000-FFFF-FFFF0F000000}" name="flight_data_raw2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" xr16:uid="{00000000-0015-0000-FFFF-FFFF10000000}" name="flight_data_raw23" type="6" refreshedVersion="6" background="1" saveData="1">
    <textPr prompt="0" codePage="437" sourceFile="C:\Leitor_MAU\flight_data_raw.txt" tab="0">
      <textFields>
        <textField/>
      </textFields>
    </textPr>
  </connection>
  <connection id="18" xr16:uid="{00000000-0015-0000-FFFF-FFFF11000000}" name="flight_data_raw24" type="6" refreshedVersion="6" background="1" saveData="1">
    <textPr prompt="0" codePage="437" sourceFile="C:\Leitor_MAU\flight_data_raw.txt" tab="0">
      <textFields>
        <textField/>
      </textFields>
    </textPr>
  </connection>
  <connection id="19" xr16:uid="{00000000-0015-0000-FFFF-FFFF12000000}" name="flight_data_raw25" type="6" refreshedVersion="6" background="1" saveData="1">
    <textPr prompt="0" codePage="437" sourceFile="C:\Leitor_MAU\flight_data_raw.txt" tab="0">
      <textFields>
        <textField/>
      </textFields>
    </textPr>
  </connection>
  <connection id="20" xr16:uid="{00000000-0015-0000-FFFF-FFFF13000000}" name="flight_data_raw26" type="6" refreshedVersion="6" background="1" saveData="1">
    <textPr prompt="0" codePage="437" sourceFile="C:\Leitor_MAU\flight_data_raw.txt" tab="0" delimiter="_">
      <textFields>
        <textField/>
      </textFields>
    </textPr>
  </connection>
  <connection id="21" xr16:uid="{00000000-0015-0000-FFFF-FFFF14000000}" name="flight_data_raw27" type="6" refreshedVersion="6" background="1" saveData="1">
    <textPr prompt="0" codePage="437" sourceFile="C:\Leitor_MAU\flight_data_raw.txt" tab="0" delimiter="_">
      <textFields>
        <textField/>
      </textFields>
    </textPr>
  </connection>
  <connection id="22" xr16:uid="{00000000-0015-0000-FFFF-FFFF15000000}" name="flight_data_raw28" type="6" refreshedVersion="6" background="1" saveData="1">
    <textPr prompt="0" codePage="437" sourceFile="C:\Leitor_MAU\flight_data_raw.txt" tab="0">
      <textFields>
        <textField/>
      </textFields>
    </textPr>
  </connection>
  <connection id="23" xr16:uid="{00000000-0015-0000-FFFF-FFFF16000000}" name="flight_data_raw29" type="6" refreshedVersion="6" background="1" saveData="1">
    <textPr prompt="0" codePage="437" sourceFile="C:\Leitor_MAU\flight_data_raw.txt" tab="0">
      <textFields>
        <textField/>
      </textFields>
    </textPr>
  </connection>
  <connection id="24" xr16:uid="{00000000-0015-0000-FFFF-FFFF17000000}" name="flight_data_raw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" xr16:uid="{00000000-0015-0000-FFFF-FFFF18000000}" name="flight_data_raw30" type="6" refreshedVersion="6" background="1" saveData="1">
    <textPr prompt="0" codePage="437" sourceFile="C:\Leitor_MAU\flight_data_raw.txt" tab="0">
      <textFields>
        <textField/>
      </textFields>
    </textPr>
  </connection>
  <connection id="26" xr16:uid="{00000000-0015-0000-FFFF-FFFF19000000}" name="flight_data_raw31" type="6" refreshedVersion="6" background="1" saveData="1">
    <textPr prompt="0" codePage="437" sourceFile="C:\Leitor_MAU\flight_data_raw.txt" tab="0">
      <textFields>
        <textField/>
      </textFields>
    </textPr>
  </connection>
  <connection id="27" xr16:uid="{00000000-0015-0000-FFFF-FFFF1A000000}" name="flight_data_raw32" type="6" refreshedVersion="6" background="1" saveData="1">
    <textPr prompt="0" codePage="437" sourceFile="C:\Leitor_MAU\flight_data_raw.txt" tab="0">
      <textFields>
        <textField/>
      </textFields>
    </textPr>
  </connection>
  <connection id="28" xr16:uid="{00000000-0015-0000-FFFF-FFFF1B000000}" name="flight_data_raw33" type="6" refreshedVersion="6" background="1" saveData="1">
    <textPr prompt="0" codePage="437" sourceFile="C:\Leitor_MAU\flight_data_raw.txt" tab="0">
      <textFields>
        <textField/>
      </textFields>
    </textPr>
  </connection>
  <connection id="29" xr16:uid="{00000000-0015-0000-FFFF-FFFF1C000000}" name="flight_data_raw34" type="6" refreshedVersion="6" background="1" saveData="1">
    <textPr prompt="0" codePage="437" sourceFile="C:\Leitor_MAU\flight_data_raw.txt" tab="0">
      <textFields>
        <textField/>
      </textFields>
    </textPr>
  </connection>
  <connection id="30" xr16:uid="{00000000-0015-0000-FFFF-FFFF1D000000}" name="flight_data_raw35" type="6" refreshedVersion="6" background="1" saveData="1">
    <textPr prompt="0" codePage="437" sourceFile="C:\Leitor_MAU\flight_data_raw.txt" tab="0">
      <textFields>
        <textField/>
      </textFields>
    </textPr>
  </connection>
  <connection id="31" xr16:uid="{00000000-0015-0000-FFFF-FFFF1E000000}" name="flight_data_raw36" type="6" refreshedVersion="6" background="1" saveData="1">
    <textPr prompt="0" codePage="437" sourceFile="C:\Leitor_MAU\flight_data_raw.txt" tab="0">
      <textFields>
        <textField/>
      </textFields>
    </textPr>
  </connection>
  <connection id="32" xr16:uid="{00000000-0015-0000-FFFF-FFFF1F000000}" name="flight_data_raw3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" xr16:uid="{00000000-0015-0000-FFFF-FFFF20000000}" name="flight_data_raw38" type="6" refreshedVersion="6" background="1" saveData="1">
    <textPr prompt="0" codePage="437" sourceFile="C:\Leitor_MAU\flight_data_raw.txt" tab="0">
      <textFields>
        <textField/>
      </textFields>
    </textPr>
  </connection>
  <connection id="34" xr16:uid="{00000000-0015-0000-FFFF-FFFF21000000}" name="flight_data_raw3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" xr16:uid="{00000000-0015-0000-FFFF-FFFF22000000}" name="flight_data_raw4" type="6" refreshedVersion="6" background="1" saveData="1">
    <textPr prompt="0" codePage="437" sourceFile="C:\Leitor_MAU\flight_data_raw.txt" tab="0">
      <textFields>
        <textField/>
      </textFields>
    </textPr>
  </connection>
  <connection id="36" xr16:uid="{00000000-0015-0000-FFFF-FFFF23000000}" name="flight_data_raw4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" xr16:uid="{00000000-0015-0000-FFFF-FFFF24000000}" name="flight_data_raw41" type="6" refreshedVersion="6" background="1" saveData="1">
    <textPr prompt="0" codePage="437" sourceFile="C:\Leitor_MAU\flight_data_raw.txt" tab="0">
      <textFields>
        <textField/>
      </textFields>
    </textPr>
  </connection>
  <connection id="38" xr16:uid="{00000000-0015-0000-FFFF-FFFF25000000}" name="flight_data_raw4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" xr16:uid="{9869885E-5881-4F43-91BC-31CFF74856BA}" name="flight_data_raw43" type="6" refreshedVersion="6" background="1" saveData="1">
    <textPr prompt="0" codePage="437" sourceFile="C:\Leitor_MAU\flight_data_raw.txt" tab="0">
      <textFields>
        <textField/>
      </textFields>
    </textPr>
  </connection>
  <connection id="40" xr16:uid="{08B93679-8105-4373-AD14-4EF9F6872E4F}" name="flight_data_raw44" type="6" refreshedVersion="6" background="1" saveData="1">
    <textPr prompt="0" codePage="437" sourceFile="C:\Leitor_MAU\flight_data_raw.txt" tab="0">
      <textFields>
        <textField/>
      </textFields>
    </textPr>
  </connection>
  <connection id="41" xr16:uid="{34384884-DA6B-41AD-A330-4D07A255D33A}" name="flight_data_raw45" type="6" refreshedVersion="6" background="1" saveData="1">
    <textPr prompt="0" codePage="437" sourceFile="C:\Leitor_MAU\flight_data_raw.txt" tab="0">
      <textFields>
        <textField/>
      </textFields>
    </textPr>
  </connection>
  <connection id="42" xr16:uid="{AA66FC21-D9F2-4032-8DFB-63D44665A224}" name="flight_data_raw46" type="6" refreshedVersion="6" background="1" saveData="1">
    <textPr prompt="0" codePage="437" sourceFile="C:\Leitor_MAU\flight_data_raw.txt" tab="0">
      <textFields>
        <textField/>
      </textFields>
    </textPr>
  </connection>
  <connection id="43" xr16:uid="{B95D0453-F2FB-431B-BEDE-37842AC343AB}" name="flight_data_raw47" type="6" refreshedVersion="6" background="1" saveData="1">
    <textPr prompt="0" codePage="437" sourceFile="C:\Leitor_MAU\flight_data_raw.txt" tab="0">
      <textFields>
        <textField/>
      </textFields>
    </textPr>
  </connection>
  <connection id="44" xr16:uid="{00000000-0015-0000-FFFF-FFFF26000000}" name="flight_data_raw4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" xr16:uid="{00000000-0015-0000-FFFF-FFFF27000000}" name="flight_data_raw4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" xr16:uid="{00000000-0015-0000-FFFF-FFFF28000000}" name="flight_data_raw5" type="6" refreshedVersion="6" background="1" saveData="1">
    <textPr prompt="0" codePage="437" sourceFile="C:\Leitor_MAU\flight_data_raw.txt" tab="0">
      <textFields>
        <textField/>
      </textFields>
    </textPr>
  </connection>
  <connection id="47" xr16:uid="{95B61BF6-83E9-4D65-BAAB-E03DC492520E}" name="flight_data_raw50" type="6" refreshedVersion="6" background="1" saveData="1">
    <textPr prompt="0" codePage="437" sourceFile="C:\Leitor_MAU\flight_data_raw.txt" tab="0">
      <textFields>
        <textField/>
      </textFields>
    </textPr>
  </connection>
  <connection id="48" xr16:uid="{028EBB7F-8385-404A-A04E-B83F92A44048}" name="flight_data_raw51" type="6" refreshedVersion="6" background="1" saveData="1">
    <textPr prompt="0" codePage="437" sourceFile="C:\Leitor_MAU\flight_data_raw.txt" tab="0">
      <textFields>
        <textField/>
      </textFields>
    </textPr>
  </connection>
  <connection id="49" xr16:uid="{E3BA6484-F827-446D-B6DC-A4146B8E8357}" name="flight_data_raw52" type="6" refreshedVersion="6" background="1" saveData="1">
    <textPr prompt="0" codePage="437" sourceFile="C:\Leitor_MAU\flight_data_raw.txt" tab="0">
      <textFields>
        <textField/>
      </textFields>
    </textPr>
  </connection>
  <connection id="50" xr16:uid="{00000000-0015-0000-FFFF-FFFF29000000}" name="flight_data_raw5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1" xr16:uid="{00000000-0015-0000-FFFF-FFFF2A000000}" name="flight_data_raw5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2" xr16:uid="{00000000-0015-0000-FFFF-FFFF2B000000}" name="flight_data_raw5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3" xr16:uid="{41EC840E-F2A7-4A78-8CD5-F6C5130FF973}" name="flight_data_raw56" type="6" refreshedVersion="6" background="1" saveData="1">
    <textPr prompt="0" codePage="437" sourceFile="C:\Leitor_MAU\flight_data_raw.txt" tab="0">
      <textFields>
        <textField/>
      </textFields>
    </textPr>
  </connection>
  <connection id="54" xr16:uid="{B6B2AF7C-6505-4E01-BC24-2F169BEC85C1}" name="flight_data_raw57" type="6" refreshedVersion="6" background="1" saveData="1">
    <textPr prompt="0" codePage="437" sourceFile="C:\Leitor_MAU\flight_data_raw.txt" tab="0">
      <textFields>
        <textField/>
      </textFields>
    </textPr>
  </connection>
  <connection id="55" xr16:uid="{309E26F2-82F1-4F07-B61F-0B403C66F118}" name="flight_data_raw58" type="6" refreshedVersion="6" background="1" saveData="1">
    <textPr prompt="0" codePage="437" sourceFile="C:\Leitor_MAU\flight_data_raw.txt" tab="0">
      <textFields>
        <textField/>
      </textFields>
    </textPr>
  </connection>
  <connection id="56" xr16:uid="{FDC96464-4317-40B7-A5B1-65DBA6D93400}" name="flight_data_raw59" type="6" refreshedVersion="6" background="1" saveData="1">
    <textPr prompt="0" codePage="437" sourceFile="C:\Leitor_MAU\flight_data_raw.txt" tab="0">
      <textFields>
        <textField/>
      </textFields>
    </textPr>
  </connection>
  <connection id="57" xr16:uid="{00000000-0015-0000-FFFF-FFFF2C000000}" name="flight_data_raw6" type="6" refreshedVersion="6" background="1" saveData="1">
    <textPr prompt="0" codePage="437" sourceFile="C:\Leitor_MAU\flight_data_raw.txt" tab="0">
      <textFields>
        <textField/>
      </textFields>
    </textPr>
  </connection>
  <connection id="58" xr16:uid="{00000000-0015-0000-FFFF-FFFF2D000000}" name="flight_data_raw6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9" xr16:uid="{A20673A2-81D9-4D34-83C0-28BF551078DB}" name="flight_data_raw61" type="6" refreshedVersion="6" background="1" saveData="1">
    <textPr prompt="0" codePage="437" sourceFile="C:\Leitor_MAU\flight_data_raw.txt" tab="0">
      <textFields>
        <textField/>
      </textFields>
    </textPr>
  </connection>
  <connection id="60" xr16:uid="{DE7E124F-54A7-49FD-BE21-1B528155CECB}" name="flight_data_raw62" type="6" refreshedVersion="6" background="1" saveData="1">
    <textPr prompt="0" codePage="437" sourceFile="C:\Leitor_MAU\flight_data_raw.txt" tab="0">
      <textFields>
        <textField/>
      </textFields>
    </textPr>
  </connection>
  <connection id="61" xr16:uid="{D051F7F0-7BAD-43A6-8207-58CA563B5E2A}" name="flight_data_raw63" type="6" refreshedVersion="6" background="1" saveData="1">
    <textPr prompt="0" codePage="437" sourceFile="C:\Leitor_MAU\flight_data_raw.txt" tab="0">
      <textFields>
        <textField/>
      </textFields>
    </textPr>
  </connection>
  <connection id="62" xr16:uid="{270A6A74-27C8-48DF-92CB-88A0F0182A23}" name="flight_data_raw64" type="6" refreshedVersion="6" background="1" saveData="1">
    <textPr prompt="0" codePage="437" sourceFile="C:\Leitor_MAU\flight_data_raw.txt" tab="0">
      <textFields>
        <textField/>
      </textFields>
    </textPr>
  </connection>
  <connection id="63" xr16:uid="{F036E3AE-9AD8-45C1-8658-46D62DF180F1}" name="flight_data_raw65" type="6" refreshedVersion="6" background="1" saveData="1">
    <textPr prompt="0" codePage="437" sourceFile="C:\Leitor_MAU\flight_data_raw.txt" tab="0">
      <textFields>
        <textField/>
      </textFields>
    </textPr>
  </connection>
  <connection id="64" xr16:uid="{5DB202AC-820D-4959-A640-B05C50415F8E}" name="flight_data_raw66" type="6" refreshedVersion="6" background="1" saveData="1">
    <textPr prompt="0" codePage="437" sourceFile="C:\Leitor_MAU\flight_data_raw.txt" tab="0">
      <textFields>
        <textField/>
      </textFields>
    </textPr>
  </connection>
  <connection id="65" xr16:uid="{F34934B8-DF39-489B-9935-740FB4746232}" name="flight_data_raw67" type="6" refreshedVersion="6" background="1" saveData="1">
    <textPr prompt="0" codePage="437" sourceFile="C:\Leitor_MAU\flight_data_raw.txt" tab="0">
      <textFields>
        <textField/>
      </textFields>
    </textPr>
  </connection>
  <connection id="66" xr16:uid="{00000000-0015-0000-FFFF-FFFF2E000000}" name="flight_data_raw6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7" xr16:uid="{878D365D-1742-41D0-8D7B-DE3F12F15080}" name="flight_data_raw69" type="6" refreshedVersion="6" background="1" saveData="1">
    <textPr prompt="0" codePage="437" sourceFile="C:\Leitor_MAU\flight_data_raw.txt" tab="0">
      <textFields>
        <textField/>
      </textFields>
    </textPr>
  </connection>
  <connection id="68" xr16:uid="{00000000-0015-0000-FFFF-FFFF2F000000}" name="flight_data_raw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9" xr16:uid="{5BC57DBD-FD4E-4368-B984-10B7822ABDF3}" name="flight_data_raw70" type="6" refreshedVersion="6" background="1" saveData="1">
    <textPr prompt="0" codePage="437" sourceFile="C:\Leitor_MAU\flight_data_raw.txt" tab="0">
      <textFields>
        <textField/>
      </textFields>
    </textPr>
  </connection>
  <connection id="70" xr16:uid="{C71012C8-DEB2-4E36-8217-1B24CE17B2B4}" name="flight_data_raw71" type="6" refreshedVersion="6" background="1" saveData="1">
    <textPr prompt="0" codePage="437" sourceFile="C:\Leitor_MAU\flight_data_raw.txt" tab="0">
      <textFields>
        <textField/>
      </textFields>
    </textPr>
  </connection>
  <connection id="71" xr16:uid="{81BBF2E1-63B0-4A74-B9B4-F31FC2231C24}" name="flight_data_raw72" type="6" refreshedVersion="6" background="1" saveData="1">
    <textPr prompt="0" codePage="437" sourceFile="C:\Leitor_MAU\flight_data_raw.txt" tab="0">
      <textFields>
        <textField/>
      </textFields>
    </textPr>
  </connection>
  <connection id="72" xr16:uid="{BA9C4075-260D-4B39-A7AA-80AF53E9C651}" name="flight_data_raw73" type="6" refreshedVersion="6" background="1" saveData="1">
    <textPr prompt="0" codePage="437" sourceFile="C:\Leitor_MAU\flight_data_raw.txt" tab="0">
      <textFields>
        <textField/>
      </textFields>
    </textPr>
  </connection>
  <connection id="73" xr16:uid="{64761ECD-DEB3-495F-8FC0-AE0CE4C75912}" name="flight_data_raw74" type="6" refreshedVersion="6" background="1" saveData="1">
    <textPr prompt="0" codePage="437" sourceFile="C:\Leitor_MAU\flight_data_raw.txt" tab="0">
      <textFields>
        <textField/>
      </textFields>
    </textPr>
  </connection>
  <connection id="74" xr16:uid="{F196E73A-A7BE-4712-8389-42DDD1A79935}" name="flight_data_raw75" type="6" refreshedVersion="6" background="1" saveData="1">
    <textPr prompt="0" codePage="437" sourceFile="C:\Leitor_MAU\flight_data_raw.txt" tab="0">
      <textFields>
        <textField/>
      </textFields>
    </textPr>
  </connection>
  <connection id="75" xr16:uid="{33EB0743-24F9-4D1F-BC86-153401C1141E}" name="flight_data_raw76" type="6" refreshedVersion="6" background="1" saveData="1">
    <textPr prompt="0" codePage="437" sourceFile="C:\Leitor_MAU\flight_data_raw.txt" tab="0">
      <textFields>
        <textField/>
      </textFields>
    </textPr>
  </connection>
  <connection id="76" xr16:uid="{00000000-0015-0000-FFFF-FFFF30000000}" name="flight_data_raw7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7" xr16:uid="{00000000-0015-0000-FFFF-FFFF31000000}" name="flight_data_raw7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8" xr16:uid="{91C512B2-972C-41A3-B59F-8D87757AB856}" name="flight_data_raw79" type="6" refreshedVersion="6" background="1" saveData="1">
    <textPr prompt="0" codePage="437" sourceFile="C:\Leitor_MAU\flight_data_raw.txt" tab="0">
      <textFields>
        <textField/>
      </textFields>
    </textPr>
  </connection>
  <connection id="79" xr16:uid="{00000000-0015-0000-FFFF-FFFF32000000}" name="flight_data_raw8" type="6" refreshedVersion="6" background="1" saveData="1">
    <textPr prompt="0" codePage="437" sourceFile="C:\Leitor_MAU\flight_data_raw.txt" tab="0">
      <textFields>
        <textField/>
      </textFields>
    </textPr>
  </connection>
  <connection id="80" xr16:uid="{F902C0EA-34BA-49D2-B0E0-BAB0232AA990}" name="flight_data_raw80" type="6" refreshedVersion="6" background="1" saveData="1">
    <textPr prompt="0" codePage="437" sourceFile="C:\Leitor_MAU\flight_data_raw.txt" tab="0">
      <textFields>
        <textField/>
      </textFields>
    </textPr>
  </connection>
  <connection id="81" xr16:uid="{DD43493F-9DC2-4115-8A8D-88A15458CA53}" name="flight_data_raw81" type="6" refreshedVersion="6" background="1" saveData="1">
    <textPr prompt="0" codePage="437" sourceFile="C:\Leitor_MAU\flight_data_raw.txt" tab="0">
      <textFields>
        <textField/>
      </textFields>
    </textPr>
  </connection>
  <connection id="82" xr16:uid="{7112D5A1-7DD0-453D-BEA6-42C971B64B8F}" name="flight_data_raw82" type="6" refreshedVersion="6" background="1" saveData="1">
    <textPr prompt="0" codePage="437" sourceFile="C:\Leitor_MAU\flight_data_raw.txt" tab="0">
      <textFields>
        <textField/>
      </textFields>
    </textPr>
  </connection>
  <connection id="83" xr16:uid="{92E24F82-2227-447E-89FB-9DA36067799A}" name="flight_data_raw83" type="6" refreshedVersion="6" background="1" saveData="1">
    <textPr prompt="0" codePage="437" sourceFile="C:\Leitor_MAU\flight_data_raw.txt" tab="0">
      <textFields>
        <textField/>
      </textFields>
    </textPr>
  </connection>
  <connection id="84" xr16:uid="{1CB1B399-7EB1-4309-93E6-98D1F3B5704C}" name="flight_data_raw84" type="6" refreshedVersion="6" background="1" saveData="1">
    <textPr prompt="0" codePage="437" sourceFile="C:\Leitor_MAU\flight_data_raw.txt" tab="0">
      <textFields>
        <textField/>
      </textFields>
    </textPr>
  </connection>
  <connection id="85" xr16:uid="{B323C0FD-87E7-4F89-BC20-3BA9D5631122}" name="flight_data_raw85" type="6" refreshedVersion="6" background="1" saveData="1">
    <textPr prompt="0" codePage="437" sourceFile="C:\Leitor_MAU\flight_data_raw.txt" tab="0">
      <textFields>
        <textField/>
      </textFields>
    </textPr>
  </connection>
  <connection id="86" xr16:uid="{2249A3B5-6E55-43E5-99FE-95B70C8C2E82}" name="flight_data_raw86" type="6" refreshedVersion="6" background="1" saveData="1">
    <textPr prompt="0" codePage="437" sourceFile="C:\Leitor_MAU\flight_data_raw.txt" tab="0">
      <textFields>
        <textField/>
      </textFields>
    </textPr>
  </connection>
  <connection id="87" xr16:uid="{9D39D7AC-0F98-43FE-9353-A7C13DBE5D78}" name="flight_data_raw87" type="6" refreshedVersion="6" background="1" saveData="1">
    <textPr prompt="0" codePage="437" sourceFile="C:\Leitor_MAU\flight_data_raw.txt" tab="0">
      <textFields>
        <textField/>
      </textFields>
    </textPr>
  </connection>
  <connection id="88" xr16:uid="{210FD62A-2953-4C52-8FEB-873E569A2569}" name="flight_data_raw88" type="6" refreshedVersion="6" background="1" saveData="1">
    <textPr prompt="0" codePage="437" sourceFile="C:\Leitor_MAU\flight_data_raw.txt" tab="0">
      <textFields>
        <textField/>
      </textFields>
    </textPr>
  </connection>
  <connection id="89" xr16:uid="{92372369-F2C0-423B-A15B-F761638DD34B}" name="flight_data_raw89" type="6" refreshedVersion="6" background="1" saveData="1">
    <textPr prompt="0" codePage="437" sourceFile="C:\Leitor_MAU\flight_data_raw.txt" tab="0">
      <textFields>
        <textField/>
      </textFields>
    </textPr>
  </connection>
  <connection id="90" xr16:uid="{00000000-0015-0000-FFFF-FFFF33000000}" name="flight_data_raw9" type="6" refreshedVersion="6" background="1" saveData="1">
    <textPr prompt="0" codePage="437" sourceFile="C:\Leitor_MAU\flight_data_raw.txt" tab="0">
      <textFields>
        <textField/>
      </textFields>
    </textPr>
  </connection>
  <connection id="91" xr16:uid="{7FF74DE8-B88E-43B6-A8B0-75FE4F31B8A2}" name="flight_data_raw90" type="6" refreshedVersion="6" background="1" saveData="1">
    <textPr prompt="0" codePage="437" sourceFile="C:\Leitor_MAU\flight_data_raw.txt" tab="0">
      <textFields>
        <textField/>
      </textFields>
    </textPr>
  </connection>
  <connection id="92" xr16:uid="{9383AAC9-00CF-4E5C-98FB-DDC3D2F5F053}" name="flight_data_raw91" type="6" refreshedVersion="6" background="1" saveData="1">
    <textPr prompt="0" codePage="437" sourceFile="C:\Leitor_MAU\flight_data_raw.txt" tab="0">
      <textFields>
        <textField/>
      </textFields>
    </textPr>
  </connection>
  <connection id="93" xr16:uid="{407E6C95-AF62-4D49-ACE4-50EA1DF7D7F0}" name="flight_data_raw92" type="6" refreshedVersion="6" background="1" saveData="1">
    <textPr prompt="0" codePage="437" sourceFile="C:\Leitor_MAU\flight_data_raw.txt" tab="0">
      <textFields>
        <textField/>
      </textFields>
    </textPr>
  </connection>
  <connection id="94" xr16:uid="{282D5C1A-10E8-482F-8142-FDCAE2DAA045}" name="flight_data_raw93" type="6" refreshedVersion="6" background="1" saveData="1">
    <textPr prompt="0" codePage="437" sourceFile="C:\Leitor_MAU\flight_data_raw.txt" tab="0">
      <textFields>
        <textField/>
      </textFields>
    </textPr>
  </connection>
  <connection id="95" xr16:uid="{35703133-96D8-42B8-B0E8-978CF381E653}" name="flight_data_raw94" type="6" refreshedVersion="6" background="1" saveData="1">
    <textPr prompt="0" codePage="437" sourceFile="C:\Leitor_MAU\flight_data_raw.txt" tab="0">
      <textFields>
        <textField/>
      </textFields>
    </textPr>
  </connection>
  <connection id="96" xr16:uid="{FE1ED3BB-4A5F-4999-A961-05B68A3908BB}" name="flight_data_raw95" type="6" refreshedVersion="6" background="1" saveData="1">
    <textPr prompt="0" codePage="437" sourceFile="C:\Leitor_MAU\flight_data_raw.txt" tab="0">
      <textFields>
        <textField/>
      </textFields>
    </textPr>
  </connection>
  <connection id="97" xr16:uid="{E9ABCAB2-A0BD-4ACA-B56E-F4EBD8A520D3}" name="flight_data_raw96" type="6" refreshedVersion="6" background="1" saveData="1">
    <textPr prompt="0" codePage="437" sourceFile="C:\Leitor_MAU\flight_data_raw.txt" tab="0">
      <textFields>
        <textField/>
      </textFields>
    </textPr>
  </connection>
  <connection id="98" xr16:uid="{90272B29-E64C-43CC-9BD2-B6E9249247C6}" name="flight_data_raw97" type="6" refreshedVersion="6" background="1" saveData="1">
    <textPr prompt="0" codePage="437" sourceFile="C:\Leitor_MAU\flight_data_raw.txt" tab="0">
      <textFields>
        <textField/>
      </textFields>
    </textPr>
  </connection>
  <connection id="99" xr16:uid="{00000000-0015-0000-FFFF-FFFF34000000}" name="flight_data_true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0" xr16:uid="{00000000-0015-0000-FFFF-FFFF35000000}" name="flight_data_true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1" xr16:uid="{00000000-0015-0000-FFFF-FFFF36000000}" name="flight_data_true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2" xr16:uid="{00000000-0015-0000-FFFF-FFFF37000000}" name="flight_data_true100" type="6" refreshedVersion="6" background="1" saveData="1">
    <textPr prompt="0" codePage="437" sourceFile="C:\Leitor_MAU\flight_data_true.txt" tab="0">
      <textFields>
        <textField/>
      </textFields>
    </textPr>
  </connection>
  <connection id="103" xr16:uid="{00000000-0015-0000-FFFF-FFFF38000000}" name="flight_data_true101" type="6" refreshedVersion="6" background="1" saveData="1">
    <textPr prompt="0" codePage="437" sourceFile="C:\Leitor_MAU\flight_data_true.txt" tab="0">
      <textFields>
        <textField/>
      </textFields>
    </textPr>
  </connection>
  <connection id="104" xr16:uid="{00000000-0015-0000-FFFF-FFFF39000000}" name="flight_data_true102" type="6" refreshedVersion="6" background="1" saveData="1">
    <textPr prompt="0" codePage="437" sourceFile="C:\Leitor_MAU\flight_data_true.txt" tab="0">
      <textFields>
        <textField/>
      </textFields>
    </textPr>
  </connection>
  <connection id="105" xr16:uid="{0BB224B6-A968-4150-90A5-7A02EAAC5DED}" name="flight_data_true103" type="6" refreshedVersion="6" background="1" saveData="1">
    <textPr prompt="0" codePage="437" sourceFile="C:\Leitor_MAU\flight_data_true.txt" tab="0">
      <textFields>
        <textField/>
      </textFields>
    </textPr>
  </connection>
  <connection id="106" xr16:uid="{A6E8C160-A9AA-48D5-B6FD-DF58C27A3028}" name="flight_data_true104" type="6" refreshedVersion="6" background="1" saveData="1">
    <textPr prompt="0" codePage="437" sourceFile="C:\Leitor_MAU\flight_data_true.txt" tab="0">
      <textFields>
        <textField/>
      </textFields>
    </textPr>
  </connection>
  <connection id="107" xr16:uid="{985D54EE-67D0-4D6E-8821-A833606BDF38}" name="flight_data_true105" type="6" refreshedVersion="6" background="1" saveData="1">
    <textPr prompt="0" codePage="437" sourceFile="C:\Leitor_MAU\flight_data_true.txt" tab="0">
      <textFields>
        <textField/>
      </textFields>
    </textPr>
  </connection>
  <connection id="108" xr16:uid="{94414B5E-790B-475F-A2A8-47BF68B5E34B}" name="flight_data_true106" type="6" refreshedVersion="6" background="1" saveData="1">
    <textPr prompt="0" codePage="437" sourceFile="C:\Leitor_MAU\flight_data_true.txt" tab="0">
      <textFields>
        <textField/>
      </textFields>
    </textPr>
  </connection>
  <connection id="109" xr16:uid="{8437FC7B-1624-43C9-A1D4-E580DEF48B2D}" name="flight_data_true107" type="6" refreshedVersion="6" background="1" saveData="1">
    <textPr prompt="0" codePage="437" sourceFile="C:\Leitor_MAU\flight_data_true.txt" tab="0">
      <textFields>
        <textField/>
      </textFields>
    </textPr>
  </connection>
  <connection id="110" xr16:uid="{C5811C2C-7144-415C-8691-B303B4F01485}" name="flight_data_true108" type="6" refreshedVersion="6" background="1" saveData="1">
    <textPr prompt="0" codePage="437" sourceFile="C:\Leitor_MAU\flight_data_true.txt" tab="0">
      <textFields>
        <textField/>
      </textFields>
    </textPr>
  </connection>
  <connection id="111" xr16:uid="{7136AB35-D8F9-4BB3-AE4A-80EE840C6586}" name="flight_data_true109" type="6" refreshedVersion="6" background="1" saveData="1">
    <textPr prompt="0" codePage="437" sourceFile="C:\Leitor_MAU\flight_data_true.txt" tab="0">
      <textFields>
        <textField/>
      </textFields>
    </textPr>
  </connection>
  <connection id="112" xr16:uid="{00000000-0015-0000-FFFF-FFFF3A000000}" name="flight_data_true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3" xr16:uid="{CCDEF17D-4D02-4ADE-96FE-F97C496CEAB3}" name="flight_data_true110" type="6" refreshedVersion="6" background="1" saveData="1">
    <textPr prompt="0" codePage="437" sourceFile="C:\Leitor_MAU\flight_data_true.txt" tab="0">
      <textFields>
        <textField/>
      </textFields>
    </textPr>
  </connection>
  <connection id="114" xr16:uid="{1ECB4F62-DCFC-463E-9BA7-EEC54FAB5E98}" name="flight_data_true111" type="6" refreshedVersion="6" background="1" saveData="1">
    <textPr prompt="0" codePage="437" sourceFile="C:\Leitor_MAU\flight_data_true.txt" tab="0">
      <textFields>
        <textField/>
      </textFields>
    </textPr>
  </connection>
  <connection id="115" xr16:uid="{5E2ACC54-DE65-448B-9337-9E6FF44BE092}" name="flight_data_true112" type="6" refreshedVersion="6" background="1" saveData="1">
    <textPr prompt="0" codePage="437" sourceFile="C:\Leitor_MAU\flight_data_true.txt" tab="0">
      <textFields>
        <textField/>
      </textFields>
    </textPr>
  </connection>
  <connection id="116" xr16:uid="{D1DA95D9-D6D5-49F4-92D6-F91927E6DCB9}" name="flight_data_true113" type="6" refreshedVersion="6" background="1" saveData="1">
    <textPr prompt="0" codePage="437" sourceFile="C:\Leitor_MAU\flight_data_true.txt" tab="0">
      <textFields>
        <textField/>
      </textFields>
    </textPr>
  </connection>
  <connection id="117" xr16:uid="{5BBD4C2B-7A09-42DD-99C8-B41FEEF4C8C1}" name="flight_data_true114" type="6" refreshedVersion="6" background="1" saveData="1">
    <textPr prompt="0" codePage="437" sourceFile="C:\Leitor_MAU\flight_data_true.txt" tab="0">
      <textFields>
        <textField/>
      </textFields>
    </textPr>
  </connection>
  <connection id="118" xr16:uid="{E79C3168-D40E-4FC1-95EB-85494E4898C6}" name="flight_data_true115" type="6" refreshedVersion="6" background="1" saveData="1">
    <textPr prompt="0" codePage="437" sourceFile="C:\Leitor_MAU\flight_data_true.txt" tab="0">
      <textFields>
        <textField/>
      </textFields>
    </textPr>
  </connection>
  <connection id="119" xr16:uid="{DD4725E8-DF0D-4057-9A03-9321B94C9E02}" name="flight_data_true116" type="6" refreshedVersion="6" background="1" saveData="1">
    <textPr prompt="0" codePage="437" sourceFile="C:\Leitor_MAU\flight_data_true.txt" tab="0">
      <textFields>
        <textField/>
      </textFields>
    </textPr>
  </connection>
  <connection id="120" xr16:uid="{07D92B61-2CC8-44B5-AF27-EE603CAEB5E1}" name="flight_data_true117" type="6" refreshedVersion="6" background="1" saveData="1">
    <textPr prompt="0" codePage="437" sourceFile="C:\Leitor_MAU\flight_data_true.txt" tab="0">
      <textFields>
        <textField/>
      </textFields>
    </textPr>
  </connection>
  <connection id="121" xr16:uid="{3E8109E5-3D30-42C9-9485-30FF7A78727F}" name="flight_data_true118" type="6" refreshedVersion="6" background="1" saveData="1">
    <textPr prompt="0" codePage="437" sourceFile="C:\Leitor_MAU\flight_data_true.txt" tab="0">
      <textFields>
        <textField/>
      </textFields>
    </textPr>
  </connection>
  <connection id="122" xr16:uid="{459AB4DA-3DB1-4A81-8C92-1CC366EE4353}" name="flight_data_true119" type="6" refreshedVersion="6" background="1" saveData="1">
    <textPr prompt="0" codePage="437" sourceFile="C:\Leitor_MAU\flight_data_true.txt" tab="0">
      <textFields>
        <textField/>
      </textFields>
    </textPr>
  </connection>
  <connection id="123" xr16:uid="{00000000-0015-0000-FFFF-FFFF3B000000}" name="flight_data_true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" xr16:uid="{9117FF9C-844F-44BA-8A59-CD232C5A393F}" name="flight_data_true120" type="6" refreshedVersion="6" background="1" saveData="1">
    <textPr prompt="0" codePage="437" sourceFile="C:\Leitor_MAU\flight_data_true.txt" tab="0">
      <textFields>
        <textField/>
      </textFields>
    </textPr>
  </connection>
  <connection id="125" xr16:uid="{642E80E6-4BE8-4068-A01E-D37C8103F310}" name="flight_data_true121" type="6" refreshedVersion="6" background="1" saveData="1">
    <textPr prompt="0" codePage="437" sourceFile="C:\Leitor_MAU\flight_data_true.txt" tab="0">
      <textFields>
        <textField/>
      </textFields>
    </textPr>
  </connection>
  <connection id="126" xr16:uid="{668F0AC2-F607-449F-97DA-4EFC4F5595C1}" name="flight_data_true122" type="6" refreshedVersion="6" background="1" saveData="1">
    <textPr prompt="0" codePage="437" sourceFile="C:\Leitor_MAU\flight_data_true.txt" tab="0">
      <textFields>
        <textField/>
      </textFields>
    </textPr>
  </connection>
  <connection id="127" xr16:uid="{1ECEA83D-29E6-45B7-8A84-4842B08C916C}" name="flight_data_true123" type="6" refreshedVersion="6" background="1" saveData="1">
    <textPr prompt="0" codePage="437" sourceFile="C:\Leitor_MAU\flight_data_true.txt" tab="0">
      <textFields>
        <textField/>
      </textFields>
    </textPr>
  </connection>
  <connection id="128" xr16:uid="{53492C27-D055-4A25-9B3B-6FDCCB6D9B16}" name="flight_data_true124" type="6" refreshedVersion="6" background="1" saveData="1">
    <textPr prompt="0" codePage="437" sourceFile="C:\Leitor_MAU\flight_data_true.txt" tab="0">
      <textFields>
        <textField/>
      </textFields>
    </textPr>
  </connection>
  <connection id="129" xr16:uid="{2FADDC7E-BEC6-44A8-BEF6-6622189FB5A2}" name="flight_data_true125" type="6" refreshedVersion="6" background="1" saveData="1">
    <textPr prompt="0" codePage="437" sourceFile="C:\Leitor_MAU\flight_data_true.txt" tab="0">
      <textFields>
        <textField/>
      </textFields>
    </textPr>
  </connection>
  <connection id="130" xr16:uid="{B0216464-A456-4220-AE7A-7F1268620BFE}" name="flight_data_true126" type="6" refreshedVersion="6" background="1" saveData="1">
    <textPr prompt="0" codePage="437" sourceFile="C:\Leitor_MAU\flight_data_true.txt" tab="0">
      <textFields>
        <textField/>
      </textFields>
    </textPr>
  </connection>
  <connection id="131" xr16:uid="{8DF784E6-EE3D-4980-897F-FFCEF8FD4488}" name="flight_data_true127" type="6" refreshedVersion="6" background="1" saveData="1">
    <textPr prompt="0" codePage="437" sourceFile="C:\Leitor_MAU\flight_data_true.txt" tab="0">
      <textFields>
        <textField/>
      </textFields>
    </textPr>
  </connection>
  <connection id="132" xr16:uid="{FA8C2051-AD0A-495F-AEA5-6D9EDC15BC80}" name="flight_data_true128" type="6" refreshedVersion="6" background="1" saveData="1">
    <textPr prompt="0" codePage="437" sourceFile="C:\Leitor_MAU\flight_data_true.txt" tab="0">
      <textFields>
        <textField/>
      </textFields>
    </textPr>
  </connection>
  <connection id="133" xr16:uid="{2FC43F36-6842-4E76-BE92-3A3B0C0DD5BE}" name="flight_data_true129" type="6" refreshedVersion="6" background="1" saveData="1">
    <textPr prompt="0" codePage="437" sourceFile="C:\Leitor_MAU\flight_data_true.txt" tab="0">
      <textFields>
        <textField/>
      </textFields>
    </textPr>
  </connection>
  <connection id="134" xr16:uid="{00000000-0015-0000-FFFF-FFFF3C000000}" name="flight_data_true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5" xr16:uid="{0CB97278-A7DF-4031-9644-5FA9F3EF8E16}" name="flight_data_true130" type="6" refreshedVersion="6" background="1" saveData="1">
    <textPr prompt="0" codePage="437" sourceFile="C:\Leitor_MAU\flight_data_true.txt" tab="0">
      <textFields>
        <textField/>
      </textFields>
    </textPr>
  </connection>
  <connection id="136" xr16:uid="{1FB188DD-CBF3-4219-BB58-864AFCA4ECF1}" name="flight_data_true131" type="6" refreshedVersion="6" background="1" saveData="1">
    <textPr prompt="0" codePage="437" sourceFile="C:\Leitor_MAU\flight_data_true.txt" tab="0">
      <textFields>
        <textField/>
      </textFields>
    </textPr>
  </connection>
  <connection id="137" xr16:uid="{16920315-A4FA-45B9-9C51-4C0AA99B710E}" name="flight_data_true132" type="6" refreshedVersion="6" background="1" saveData="1">
    <textPr prompt="0" codePage="437" sourceFile="C:\Leitor_MAU\flight_data_true.txt" tab="0">
      <textFields>
        <textField/>
      </textFields>
    </textPr>
  </connection>
  <connection id="138" xr16:uid="{FFE5FD63-F600-45E8-827B-AB34D26657B3}" name="flight_data_true133" type="6" refreshedVersion="6" background="1" saveData="1">
    <textPr prompt="0" codePage="437" sourceFile="C:\Leitor_MAU\flight_data_true.txt" tab="0">
      <textFields>
        <textField/>
      </textFields>
    </textPr>
  </connection>
  <connection id="139" xr16:uid="{CD1EBCDA-CE87-4D0A-8A21-542F6340F8CD}" name="flight_data_true134" type="6" refreshedVersion="6" background="1" saveData="1">
    <textPr prompt="0" codePage="437" sourceFile="C:\Leitor_MAU\flight_data_true.txt" tab="0">
      <textFields>
        <textField/>
      </textFields>
    </textPr>
  </connection>
  <connection id="140" xr16:uid="{3ACA4B50-B137-446E-ABA2-702821C2D5B9}" name="flight_data_true135" type="6" refreshedVersion="6" background="1" saveData="1">
    <textPr prompt="0" codePage="437" sourceFile="C:\Leitor_MAU\flight_data_true.txt" tab="0">
      <textFields>
        <textField/>
      </textFields>
    </textPr>
  </connection>
  <connection id="141" xr16:uid="{7553CD11-A782-4E95-897D-CC4CC9EBA8E7}" name="flight_data_true136" type="6" refreshedVersion="6" background="1" saveData="1">
    <textPr prompt="0" codePage="437" sourceFile="C:\Leitor_MAU\flight_data_true.txt" tab="0">
      <textFields>
        <textField/>
      </textFields>
    </textPr>
  </connection>
  <connection id="142" xr16:uid="{87B3CD45-F936-4C0D-8C31-034B23F5B6B1}" name="flight_data_true137" type="6" refreshedVersion="6" background="1" saveData="1">
    <textPr prompt="0" codePage="437" sourceFile="C:\Leitor_MAU\flight_data_true.txt" tab="0">
      <textFields>
        <textField/>
      </textFields>
    </textPr>
  </connection>
  <connection id="143" xr16:uid="{25B06A01-0B00-4B04-893E-D4610B85EFD6}" name="flight_data_true138" type="6" refreshedVersion="6" background="1" saveData="1">
    <textPr prompt="0" codePage="437" sourceFile="C:\Leitor_MAU\flight_data_true.txt" tab="0">
      <textFields>
        <textField/>
      </textFields>
    </textPr>
  </connection>
  <connection id="144" xr16:uid="{32BB9ECA-15B8-43E9-8A17-61A240A7B18E}" name="flight_data_true139" type="6" refreshedVersion="6" background="1" saveData="1">
    <textPr prompt="0" codePage="437" sourceFile="C:\Leitor_MAU\flight_data_true.txt" tab="0">
      <textFields>
        <textField/>
      </textFields>
    </textPr>
  </connection>
  <connection id="145" xr16:uid="{00000000-0015-0000-FFFF-FFFF3D000000}" name="flight_data_true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46" xr16:uid="{5D05439F-7B7F-4CA9-8ED3-109A06408C3D}" name="flight_data_true140" type="6" refreshedVersion="6" background="1" saveData="1">
    <textPr prompt="0" codePage="437" sourceFile="C:\Leitor_MAU\flight_data_true.txt" tab="0">
      <textFields>
        <textField/>
      </textFields>
    </textPr>
  </connection>
  <connection id="147" xr16:uid="{1BE0D555-8A9C-411C-A98F-D85CB8CB8E3A}" name="flight_data_true141" type="6" refreshedVersion="6" background="1" saveData="1">
    <textPr prompt="0" codePage="437" sourceFile="C:\Leitor_MAU\flight_data_true.txt" tab="0">
      <textFields>
        <textField/>
      </textFields>
    </textPr>
  </connection>
  <connection id="148" xr16:uid="{CC7F22B2-27C7-4AFF-85D9-EE8CFE235E5D}" name="flight_data_true142" type="6" refreshedVersion="6" background="1" saveData="1">
    <textPr prompt="0" codePage="437" sourceFile="C:\Leitor_MAU\flight_data_true.txt" tab="0">
      <textFields>
        <textField/>
      </textFields>
    </textPr>
  </connection>
  <connection id="149" xr16:uid="{AB57D706-4135-4D6B-9809-B1DF9B9B7FA0}" name="flight_data_true143" type="6" refreshedVersion="6" background="1" saveData="1">
    <textPr prompt="0" codePage="437" sourceFile="C:\Leitor_MAU\flight_data_true.txt" tab="0">
      <textFields>
        <textField/>
      </textFields>
    </textPr>
  </connection>
  <connection id="150" xr16:uid="{2D179B32-C6CA-4C8D-A9D0-17B365C25BFD}" name="flight_data_true144" type="6" refreshedVersion="6" background="1" saveData="1">
    <textPr prompt="0" codePage="437" sourceFile="C:\Leitor_MAU\flight_data_true.txt" tab="0">
      <textFields>
        <textField/>
      </textFields>
    </textPr>
  </connection>
  <connection id="151" xr16:uid="{6985A0D3-59AC-4D03-B563-BC454DD22343}" name="flight_data_true145" type="6" refreshedVersion="6" background="1" saveData="1">
    <textPr prompt="0" codePage="437" sourceFile="C:\Leitor_MAU\flight_data_true.txt" tab="0">
      <textFields>
        <textField/>
      </textFields>
    </textPr>
  </connection>
  <connection id="152" xr16:uid="{90349FBD-F26D-4C5C-A5EF-78B675796461}" name="flight_data_true146" type="6" refreshedVersion="6" background="1" saveData="1">
    <textPr prompt="0" codePage="437" sourceFile="C:\Leitor_MAU\flight_data_true.txt" tab="0">
      <textFields>
        <textField/>
      </textFields>
    </textPr>
  </connection>
  <connection id="153" xr16:uid="{A21941A9-0717-4F67-B7A8-3716D0D8E9EC}" name="flight_data_true147" type="6" refreshedVersion="6" background="1" saveData="1">
    <textPr prompt="0" codePage="437" sourceFile="C:\Leitor_MAU\flight_data_true.txt" tab="0">
      <textFields>
        <textField/>
      </textFields>
    </textPr>
  </connection>
  <connection id="154" xr16:uid="{72E69211-41E3-472E-9A35-B6CD69AC90C1}" name="flight_data_true148" type="6" refreshedVersion="6" background="1" saveData="1">
    <textPr prompt="0" codePage="437" sourceFile="C:\Leitor_MAU\flight_data_true.txt" tab="0">
      <textFields>
        <textField/>
      </textFields>
    </textPr>
  </connection>
  <connection id="155" xr16:uid="{00000000-0015-0000-FFFF-FFFF3E000000}" name="flight_data_true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56" xr16:uid="{00000000-0015-0000-FFFF-FFFF3F000000}" name="flight_data_true1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57" xr16:uid="{00000000-0015-0000-FFFF-FFFF40000000}" name="flight_data_true1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58" xr16:uid="{00000000-0015-0000-FFFF-FFFF41000000}" name="flight_data_true1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59" xr16:uid="{00000000-0015-0000-FFFF-FFFF42000000}" name="flight_data_true1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0" xr16:uid="{00000000-0015-0000-FFFF-FFFF43000000}" name="flight_data_true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1" xr16:uid="{00000000-0015-0000-FFFF-FFFF44000000}" name="flight_data_true2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2" xr16:uid="{00000000-0015-0000-FFFF-FFFF45000000}" name="flight_data_true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3" xr16:uid="{00000000-0015-0000-FFFF-FFFF46000000}" name="flight_data_true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4" xr16:uid="{00000000-0015-0000-FFFF-FFFF47000000}" name="flight_data_true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5" xr16:uid="{00000000-0015-0000-FFFF-FFFF48000000}" name="flight_data_true2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6" xr16:uid="{00000000-0015-0000-FFFF-FFFF49000000}" name="flight_data_true2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7" xr16:uid="{00000000-0015-0000-FFFF-FFFF4A000000}" name="flight_data_true2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8" xr16:uid="{00000000-0015-0000-FFFF-FFFF4B000000}" name="flight_data_true2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9" xr16:uid="{00000000-0015-0000-FFFF-FFFF4C000000}" name="flight_data_true2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0" xr16:uid="{00000000-0015-0000-FFFF-FFFF4D000000}" name="flight_data_true2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1" xr16:uid="{00000000-0015-0000-FFFF-FFFF4E000000}" name="flight_data_true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2" xr16:uid="{00000000-0015-0000-FFFF-FFFF4F000000}" name="flight_data_true3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3" xr16:uid="{00000000-0015-0000-FFFF-FFFF50000000}" name="flight_data_true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4" xr16:uid="{00000000-0015-0000-FFFF-FFFF51000000}" name="flight_data_true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5" xr16:uid="{00000000-0015-0000-FFFF-FFFF52000000}" name="flight_data_true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6" xr16:uid="{00000000-0015-0000-FFFF-FFFF53000000}" name="flight_data_true3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7" xr16:uid="{00000000-0015-0000-FFFF-FFFF54000000}" name="flight_data_true3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8" xr16:uid="{00000000-0015-0000-FFFF-FFFF55000000}" name="flight_data_true3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9" xr16:uid="{00000000-0015-0000-FFFF-FFFF56000000}" name="flight_data_true3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80" xr16:uid="{00000000-0015-0000-FFFF-FFFF57000000}" name="flight_data_true3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81" xr16:uid="{00000000-0015-0000-FFFF-FFFF58000000}" name="flight_data_true3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82" xr16:uid="{00000000-0015-0000-FFFF-FFFF59000000}" name="flight_data_true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83" xr16:uid="{00000000-0015-0000-FFFF-FFFF5A000000}" name="flight_data_true4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84" xr16:uid="{00000000-0015-0000-FFFF-FFFF5B000000}" name="flight_data_true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85" xr16:uid="{00000000-0015-0000-FFFF-FFFF5C000000}" name="flight_data_true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86" xr16:uid="{00000000-0015-0000-FFFF-FFFF5D000000}" name="flight_data_true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87" xr16:uid="{00000000-0015-0000-FFFF-FFFF5E000000}" name="flight_data_true4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88" xr16:uid="{00000000-0015-0000-FFFF-FFFF5F000000}" name="flight_data_true4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89" xr16:uid="{00000000-0015-0000-FFFF-FFFF60000000}" name="flight_data_true4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90" xr16:uid="{00000000-0015-0000-FFFF-FFFF61000000}" name="flight_data_true4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91" xr16:uid="{00000000-0015-0000-FFFF-FFFF62000000}" name="flight_data_true4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92" xr16:uid="{00000000-0015-0000-FFFF-FFFF63000000}" name="flight_data_true4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93" xr16:uid="{00000000-0015-0000-FFFF-FFFF64000000}" name="flight_data_true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94" xr16:uid="{00000000-0015-0000-FFFF-FFFF65000000}" name="flight_data_true5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95" xr16:uid="{00000000-0015-0000-FFFF-FFFF66000000}" name="flight_data_true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96" xr16:uid="{00000000-0015-0000-FFFF-FFFF67000000}" name="flight_data_true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97" xr16:uid="{00000000-0015-0000-FFFF-FFFF68000000}" name="flight_data_true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98" xr16:uid="{00000000-0015-0000-FFFF-FFFF69000000}" name="flight_data_true5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99" xr16:uid="{00000000-0015-0000-FFFF-FFFF6A000000}" name="flight_data_true5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00" xr16:uid="{00000000-0015-0000-FFFF-FFFF6B000000}" name="flight_data_true5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01" xr16:uid="{00000000-0015-0000-FFFF-FFFF6C000000}" name="flight_data_true5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02" xr16:uid="{00000000-0015-0000-FFFF-FFFF6D000000}" name="flight_data_true58" type="6" refreshedVersion="5" background="1" saveData="1">
    <textPr prompt="0" codePage="437" sourceFile="C:\Leitor_Nanopeak\flight_data_true.txt" decimal="," thousands="." tab="0">
      <textFields>
        <textField/>
      </textFields>
    </textPr>
  </connection>
  <connection id="203" xr16:uid="{00000000-0015-0000-FFFF-FFFF6E000000}" name="flight_data_true59" type="6" refreshedVersion="6" background="1" saveData="1">
    <textPr prompt="0" codePage="437" sourceFile="C:\Leitor_MAU\flight_data_true.txt" tab="0">
      <textFields>
        <textField/>
      </textFields>
    </textPr>
  </connection>
  <connection id="204" xr16:uid="{00000000-0015-0000-FFFF-FFFF6F000000}" name="flight_data_true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05" xr16:uid="{00000000-0015-0000-FFFF-FFFF70000000}" name="flight_data_true6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06" xr16:uid="{00000000-0015-0000-FFFF-FFFF71000000}" name="flight_data_true61" type="6" refreshedVersion="6" background="1" saveData="1">
    <textPr prompt="0" codePage="437" sourceFile="C:\Leitor_MAU\flight_data_true.txt" tab="0">
      <textFields>
        <textField/>
      </textFields>
    </textPr>
  </connection>
  <connection id="207" xr16:uid="{00000000-0015-0000-FFFF-FFFF72000000}" name="flight_data_true62" type="6" refreshedVersion="6" background="1" saveData="1">
    <textPr prompt="0" codePage="437" sourceFile="C:\Leitor_MAU\flight_data_true.txt" tab="0">
      <textFields>
        <textField/>
      </textFields>
    </textPr>
  </connection>
  <connection id="208" xr16:uid="{00000000-0015-0000-FFFF-FFFF73000000}" name="flight_data_true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09" xr16:uid="{00000000-0015-0000-FFFF-FFFF74000000}" name="flight_data_true6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10" xr16:uid="{00000000-0015-0000-FFFF-FFFF75000000}" name="flight_data_true6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11" xr16:uid="{00000000-0015-0000-FFFF-FFFF76000000}" name="flight_data_true6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12" xr16:uid="{00000000-0015-0000-FFFF-FFFF77000000}" name="flight_data_true6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13" xr16:uid="{00000000-0015-0000-FFFF-FFFF78000000}" name="flight_data_true6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14" xr16:uid="{00000000-0015-0000-FFFF-FFFF79000000}" name="flight_data_true69" type="6" refreshedVersion="6" background="1" saveData="1">
    <textPr prompt="0" codePage="437" sourceFile="C:\Leitor_MAU\flight_data_true.txt" tab="0">
      <textFields>
        <textField/>
      </textFields>
    </textPr>
  </connection>
  <connection id="215" xr16:uid="{00000000-0015-0000-FFFF-FFFF7A000000}" name="flight_data_true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16" xr16:uid="{00000000-0015-0000-FFFF-FFFF7B000000}" name="flight_data_true70" type="6" refreshedVersion="6" background="1" saveData="1">
    <textPr prompt="0" codePage="437" sourceFile="C:\Leitor_MAU\flight_data_true.txt" tab="0">
      <textFields>
        <textField/>
      </textFields>
    </textPr>
  </connection>
  <connection id="217" xr16:uid="{00000000-0015-0000-FFFF-FFFF7C000000}" name="flight_data_true71" type="6" refreshedVersion="6" background="1" saveData="1">
    <textPr prompt="0" codePage="437" sourceFile="C:\Leitor_MAU\flight_data_true.txt" tab="0">
      <textFields>
        <textField/>
      </textFields>
    </textPr>
  </connection>
  <connection id="218" xr16:uid="{00000000-0015-0000-FFFF-FFFF7D000000}" name="flight_data_true72" type="6" refreshedVersion="6" background="1" saveData="1">
    <textPr prompt="0" codePage="437" sourceFile="C:\Leitor_MAU\flight_data_true.txt" tab="0">
      <textFields>
        <textField/>
      </textFields>
    </textPr>
  </connection>
  <connection id="219" xr16:uid="{00000000-0015-0000-FFFF-FFFF7E000000}" name="flight_data_true73" type="6" refreshedVersion="6" background="1" saveData="1">
    <textPr prompt="0" codePage="437" sourceFile="C:\Leitor_MAU\flight_data_true.txt" tab="0">
      <textFields>
        <textField/>
      </textFields>
    </textPr>
  </connection>
  <connection id="220" xr16:uid="{00000000-0015-0000-FFFF-FFFF7F000000}" name="flight_data_true74" type="6" refreshedVersion="6" background="1" saveData="1">
    <textPr prompt="0" codePage="437" sourceFile="C:\Leitor_MAU\flight_data_true.txt" tab="0">
      <textFields>
        <textField/>
      </textFields>
    </textPr>
  </connection>
  <connection id="221" xr16:uid="{00000000-0015-0000-FFFF-FFFF80000000}" name="flight_data_true75" type="6" refreshedVersion="6" background="1" saveData="1">
    <textPr prompt="0" codePage="437" sourceFile="C:\Leitor_MAU\flight_data_true.txt" tab="0">
      <textFields>
        <textField/>
      </textFields>
    </textPr>
  </connection>
  <connection id="222" xr16:uid="{00000000-0015-0000-FFFF-FFFF81000000}" name="flight_data_true76" type="6" refreshedVersion="6" background="1" saveData="1">
    <textPr prompt="0" codePage="437" sourceFile="C:\Leitor_MAU\flight_data_true.txt" tab="0">
      <textFields>
        <textField/>
      </textFields>
    </textPr>
  </connection>
  <connection id="223" xr16:uid="{00000000-0015-0000-FFFF-FFFF82000000}" name="flight_data_true77" type="6" refreshedVersion="6" background="1" saveData="1">
    <textPr prompt="0" codePage="437" sourceFile="C:\Leitor_MAU\flight_data_true.txt" tab="0">
      <textFields>
        <textField/>
      </textFields>
    </textPr>
  </connection>
  <connection id="224" xr16:uid="{00000000-0015-0000-FFFF-FFFF83000000}" name="flight_data_true7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25" xr16:uid="{00000000-0015-0000-FFFF-FFFF84000000}" name="flight_data_true7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26" xr16:uid="{00000000-0015-0000-FFFF-FFFF85000000}" name="flight_data_true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27" xr16:uid="{00000000-0015-0000-FFFF-FFFF86000000}" name="flight_data_true8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28" xr16:uid="{00000000-0015-0000-FFFF-FFFF87000000}" name="flight_data_true81" type="6" refreshedVersion="6" background="1" saveData="1">
    <textPr prompt="0" codePage="437" sourceFile="C:\Leitor_MAU\flight_data_true.txt" tab="0">
      <textFields>
        <textField/>
      </textFields>
    </textPr>
  </connection>
  <connection id="229" xr16:uid="{00000000-0015-0000-FFFF-FFFF88000000}" name="flight_data_true82" type="6" refreshedVersion="6" background="1" saveData="1">
    <textPr prompt="0" codePage="437" sourceFile="C:\Leitor_MAU\flight_data_true.txt" tab="0">
      <textFields>
        <textField/>
      </textFields>
    </textPr>
  </connection>
  <connection id="230" xr16:uid="{00000000-0015-0000-FFFF-FFFF89000000}" name="flight_data_true83" type="6" refreshedVersion="6" background="1" saveData="1">
    <textPr prompt="0" codePage="437" sourceFile="C:\Leitor_MAU\flight_data_true.txt" tab="0">
      <textFields>
        <textField/>
      </textFields>
    </textPr>
  </connection>
  <connection id="231" xr16:uid="{00000000-0015-0000-FFFF-FFFF8A000000}" name="flight_data_true84" type="6" refreshedVersion="6" background="1" saveData="1">
    <textPr prompt="0" codePage="437" sourceFile="C:\Leitor_MAU\flight_data_true.txt" tab="0">
      <textFields>
        <textField/>
      </textFields>
    </textPr>
  </connection>
  <connection id="232" xr16:uid="{00000000-0015-0000-FFFF-FFFF8B000000}" name="flight_data_true8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33" xr16:uid="{00000000-0015-0000-FFFF-FFFF8C000000}" name="flight_data_true86" type="6" refreshedVersion="6" background="1" saveData="1">
    <textPr prompt="0" codePage="437" sourceFile="C:\Leitor_MAU\flight_data_true.txt" tab="0">
      <textFields>
        <textField/>
      </textFields>
    </textPr>
  </connection>
  <connection id="234" xr16:uid="{00000000-0015-0000-FFFF-FFFF8D000000}" name="flight_data_true87" type="6" refreshedVersion="6" background="1" saveData="1">
    <textPr prompt="0" codePage="437" sourceFile="C:\Leitor_MAU\flight_data_true.txt" tab="0">
      <textFields>
        <textField/>
      </textFields>
    </textPr>
  </connection>
  <connection id="235" xr16:uid="{00000000-0015-0000-FFFF-FFFF8E000000}" name="flight_data_true88" type="6" refreshedVersion="6" background="1" saveData="1">
    <textPr prompt="0" codePage="437" sourceFile="C:\Leitor_MAU\flight_data_true.txt" tab="0">
      <textFields>
        <textField/>
      </textFields>
    </textPr>
  </connection>
  <connection id="236" xr16:uid="{00000000-0015-0000-FFFF-FFFF8F000000}" name="flight_data_true89" type="6" refreshedVersion="6" background="1" saveData="1">
    <textPr prompt="0" codePage="437" sourceFile="C:\Leitor_MAU\flight_data_true.txt" tab="0" delimiter="_">
      <textFields>
        <textField/>
      </textFields>
    </textPr>
  </connection>
  <connection id="237" xr16:uid="{00000000-0015-0000-FFFF-FFFF90000000}" name="flight_data_true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238" xr16:uid="{00000000-0015-0000-FFFF-FFFF91000000}" name="flight_data_true90" type="6" refreshedVersion="6" background="1" saveData="1">
    <textPr prompt="0" codePage="437" sourceFile="C:\Leitor_MAU\flight_data_true.txt" tab="0" delimiter="_">
      <textFields>
        <textField/>
      </textFields>
    </textPr>
  </connection>
  <connection id="239" xr16:uid="{00000000-0015-0000-FFFF-FFFF92000000}" name="flight_data_true91" type="6" refreshedVersion="6" background="1" saveData="1">
    <textPr prompt="0" codePage="437" sourceFile="C:\Leitor_MAU\flight_data_true.txt" tab="0" delimiter="_">
      <textFields>
        <textField/>
      </textFields>
    </textPr>
  </connection>
  <connection id="240" xr16:uid="{00000000-0015-0000-FFFF-FFFF93000000}" name="flight_data_true92" type="6" refreshedVersion="6" background="1" saveData="1">
    <textPr prompt="0" codePage="437" sourceFile="C:\Leitor_MAU\flight_data_true.txt" tab="0">
      <textFields>
        <textField/>
      </textFields>
    </textPr>
  </connection>
  <connection id="241" xr16:uid="{00000000-0015-0000-FFFF-FFFF94000000}" name="flight_data_true93" type="6" refreshedVersion="6" background="1" saveData="1">
    <textPr prompt="0" codePage="437" sourceFile="C:\Leitor_MAU\flight_data_true.txt" tab="0">
      <textFields>
        <textField/>
      </textFields>
    </textPr>
  </connection>
  <connection id="242" xr16:uid="{00000000-0015-0000-FFFF-FFFF95000000}" name="flight_data_true94" type="6" refreshedVersion="6" background="1" saveData="1">
    <textPr prompt="0" codePage="437" sourceFile="C:\Leitor_MAU\flight_data_true.txt" tab="0">
      <textFields>
        <textField/>
      </textFields>
    </textPr>
  </connection>
  <connection id="243" xr16:uid="{00000000-0015-0000-FFFF-FFFF96000000}" name="flight_data_true95" type="6" refreshedVersion="6" background="1" saveData="1">
    <textPr prompt="0" codePage="437" sourceFile="C:\Leitor_MAU\flight_data_true.txt" tab="0">
      <textFields>
        <textField/>
      </textFields>
    </textPr>
  </connection>
  <connection id="244" xr16:uid="{00000000-0015-0000-FFFF-FFFF97000000}" name="flight_data_true96" type="6" refreshedVersion="6" background="1" saveData="1">
    <textPr prompt="0" codePage="437" sourceFile="C:\Leitor_MAU\flight_data_true.txt" tab="0">
      <textFields>
        <textField/>
      </textFields>
    </textPr>
  </connection>
  <connection id="245" xr16:uid="{00000000-0015-0000-FFFF-FFFF98000000}" name="flight_data_true97" type="6" refreshedVersion="6" background="1" saveData="1">
    <textPr prompt="0" codePage="437" sourceFile="C:\Leitor_MAU\flight_data_true.txt" tab="0">
      <textFields>
        <textField/>
      </textFields>
    </textPr>
  </connection>
  <connection id="246" xr16:uid="{00000000-0015-0000-FFFF-FFFF99000000}" name="flight_data_true98" type="6" refreshedVersion="6" background="1" saveData="1">
    <textPr prompt="0" codePage="437" sourceFile="C:\Leitor_MAU\flight_data_true.txt" tab="0">
      <textFields>
        <textField/>
      </textFields>
    </textPr>
  </connection>
  <connection id="247" xr16:uid="{00000000-0015-0000-FFFF-FFFF9A000000}" name="flight_data_true99" type="6" refreshedVersion="6" background="1" saveData="1">
    <textPr prompt="0" codePage="437" sourceFile="C:\Leitor_MAU\flight_data_true.txt" tab="0">
      <textFields>
        <textField/>
      </textFields>
    </textPr>
  </connection>
  <connection id="248" xr16:uid="{00000000-0015-0000-FFFF-FFFF9B000000}" name="P1_flight_data_true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249" xr16:uid="{00000000-0015-0000-FFFF-FFFF9C000000}" name="P1_flight_data_true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250" xr16:uid="{00000000-0015-0000-FFFF-FFFF9D000000}" name="P1_flight_data_true1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251" xr16:uid="{00000000-0015-0000-FFFF-FFFF9E000000}" name="P1_flight_data_true14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252" xr16:uid="{00000000-0015-0000-FFFF-FFFF9F000000}" name="P1_flight_data_true15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253" xr16:uid="{00000000-0015-0000-FFFF-FFFFA0000000}" name="P1_flight_data_true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254" xr16:uid="{00000000-0015-0000-FFFF-FFFFA1000000}" name="P1_flight_data_true4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255" xr16:uid="{00000000-0015-0000-FFFF-FFFFA2000000}" name="P1_flight_data_true6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256" xr16:uid="{00000000-0015-0000-FFFF-FFFFA3000000}" name="P1_flight_data_true8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257" xr16:uid="{E68BC723-2512-49AC-BCDD-F6B7935C5D5C}" name="timestamps" type="6" refreshedVersion="6" background="1" saveData="1">
    <textPr prompt="0" codePage="437" sourceFile="C:\Leitor_MAU\timestamps.txt" tab="0">
      <textFields>
        <textField/>
      </textFields>
    </textPr>
  </connection>
  <connection id="258" xr16:uid="{A85E7448-4EA2-4C9B-8150-A66AF27FF98B}" name="timestamps1" type="6" refreshedVersion="6" background="1" saveData="1">
    <textPr prompt="0" codePage="437" sourceFile="C:\Leitor_MAU\timestamps.txt" tab="0">
      <textFields>
        <textField/>
      </textFields>
    </textPr>
  </connection>
  <connection id="259" xr16:uid="{7462E462-8522-4FEF-A19B-B9BB1E628638}" name="timestamps2" type="6" refreshedVersion="6" background="1" saveData="1">
    <textPr prompt="0" codePage="437" sourceFile="C:\Leitor_MAU\timestamps.txt" tab="0">
      <textFields>
        <textField/>
      </textFields>
    </textPr>
  </connection>
  <connection id="260" xr16:uid="{08FA38D2-994F-4138-A8C1-AAB7B08998C8}" name="timestamps3" type="6" refreshedVersion="6" background="1" saveData="1">
    <textPr prompt="0" codePage="437" sourceFile="C:\Leitor_MAU\timestamps.txt" tab="0">
      <textFields>
        <textField/>
      </textFields>
    </textPr>
  </connection>
  <connection id="261" xr16:uid="{03B963B2-1C06-44B7-9C19-B1A8251209AF}" name="timestamps4" type="6" refreshedVersion="6" background="1" saveData="1">
    <textPr prompt="0" codePage="437" sourceFile="C:\Leitor_MAU\timestamps.txt" tab="0">
      <textFields>
        <textField/>
      </textFields>
    </textPr>
  </connection>
  <connection id="262" xr16:uid="{E9707406-43A3-4C2D-9CFA-A7E617A715CF}" name="timestamps5" type="6" refreshedVersion="6" background="1" saveData="1">
    <textPr prompt="0" codePage="437" sourceFile="C:\Leitor_MAU\timestamps.txt" tab="0">
      <textFields>
        <textField/>
      </textFields>
    </textPr>
  </connection>
  <connection id="263" xr16:uid="{E8E7AA5C-196C-4595-89C1-099D42BF8639}" name="timestamps6" type="6" refreshedVersion="6" background="1" saveData="1">
    <textPr prompt="0" codePage="437" sourceFile="C:\Leitor_MAU\timestamps.txt" tab="0">
      <textFields>
        <textField/>
      </textFields>
    </textPr>
  </connection>
  <connection id="264" xr16:uid="{E43659D8-A0A4-49F4-A918-D4FF355584D7}" name="timestamps7" type="6" refreshedVersion="6" background="1" saveData="1">
    <textPr prompt="0" codePage="437" sourceFile="C:\Leitor_MAU\timestamps.txt" tab="0">
      <textFields>
        <textField/>
      </textFields>
    </textPr>
  </connection>
  <connection id="265" xr16:uid="{11575528-3434-4709-BD74-B93C54CE051C}" name="timestamps8" type="6" refreshedVersion="6" background="1" saveData="1">
    <textPr prompt="0" codePage="437" sourceFile="C:\Leitor_MAU\timestamps.txt" tab="0">
      <textFields>
        <textField/>
      </textFields>
    </textPr>
  </connection>
  <connection id="266" xr16:uid="{B01AA4E0-553C-4557-A286-05B3A3336032}" name="timestamps9" type="6" refreshedVersion="6" background="1" saveData="1">
    <textPr prompt="0" codePage="437" sourceFile="C:\Leitor_MAU\timestamps.txt" tab="0">
      <textFields>
        <textField/>
      </textFields>
    </textPr>
  </connection>
</connections>
</file>

<file path=xl/sharedStrings.xml><?xml version="1.0" encoding="utf-8"?>
<sst xmlns="http://schemas.openxmlformats.org/spreadsheetml/2006/main" count="31" uniqueCount="31">
  <si>
    <t>P (input)</t>
  </si>
  <si>
    <t>h (output)</t>
  </si>
  <si>
    <t>h (input)</t>
  </si>
  <si>
    <t>P (output)</t>
  </si>
  <si>
    <t>EQ1_Tb</t>
  </si>
  <si>
    <t>coef1</t>
  </si>
  <si>
    <t>EQ1_Lb</t>
  </si>
  <si>
    <t>index1</t>
  </si>
  <si>
    <t>EQ1_R</t>
  </si>
  <si>
    <t>coef2</t>
  </si>
  <si>
    <t>EQ1_g</t>
  </si>
  <si>
    <t>index2</t>
  </si>
  <si>
    <t>EQ1_M</t>
  </si>
  <si>
    <t>EQ1_Pb</t>
  </si>
  <si>
    <t>Data:</t>
  </si>
  <si>
    <t>Altímetro</t>
  </si>
  <si>
    <t>Vôo Nº:</t>
  </si>
  <si>
    <t>Equação Barométrica</t>
  </si>
  <si>
    <t>Pressao</t>
  </si>
  <si>
    <t>CUIDADO:</t>
  </si>
  <si>
    <t>Ao clicar no botão acima, qualquer vôo armazenado no altímetro será apagado!!!</t>
  </si>
  <si>
    <r>
      <t xml:space="preserve">Toda a memória do altímetro será preenchida com um valor constante equivalente à pressão atmosférica ao nível do mar (101325 Pa), ou seja, </t>
    </r>
    <r>
      <rPr>
        <sz val="11"/>
        <color rgb="FFC00000"/>
        <rFont val="Calibri"/>
        <family val="2"/>
        <scheme val="minor"/>
      </rPr>
      <t>ZERO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00000"/>
        <rFont val="Calibri"/>
        <family val="2"/>
        <scheme val="minor"/>
      </rPr>
      <t>metros</t>
    </r>
    <r>
      <rPr>
        <sz val="11"/>
        <color theme="1"/>
        <rFont val="Calibri"/>
        <family val="2"/>
        <scheme val="minor"/>
      </rPr>
      <t xml:space="preserve"> de altitude.</t>
    </r>
  </si>
  <si>
    <t>ºC</t>
  </si>
  <si>
    <t>Amostra bruta</t>
  </si>
  <si>
    <t>Instante [s]</t>
  </si>
  <si>
    <t>Altitude [m]</t>
  </si>
  <si>
    <t>Altura
[m]</t>
  </si>
  <si>
    <t>Pressão no Solo [Pa]</t>
  </si>
  <si>
    <t>Pressão no Apogeu [Pa]</t>
  </si>
  <si>
    <t>Apogeu [m]</t>
  </si>
  <si>
    <t>Altitude
[m]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</si>
</sst>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2">
    <border>
      <left/>
      <right/>
      <top/>
      <bottom/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medium">
        <color rgb="FFFFC000"/>
      </left>
      <right style="medium">
        <color rgb="FFFFC000"/>
      </right>
      <top style="thin">
        <color indexed="64"/>
      </top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thick">
        <color rgb="FFC00000"/>
      </top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ck">
        <color rgb="FFC00000"/>
      </right>
      <top style="thick">
        <color rgb="FFC00000"/>
      </top>
      <bottom/>
      <diagonal/>
    </border>
    <border>
      <left style="medium">
        <color theme="5"/>
      </left>
      <right style="thick">
        <color rgb="FFC00000"/>
      </right>
      <top style="medium">
        <color theme="5"/>
      </top>
      <bottom style="thin">
        <color indexed="64"/>
      </bottom>
      <diagonal/>
    </border>
    <border>
      <left style="medium">
        <color theme="5"/>
      </left>
      <right style="thick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theme="5"/>
      </left>
      <right style="thick">
        <color rgb="FFC00000"/>
      </right>
      <top style="thin">
        <color indexed="64"/>
      </top>
      <bottom style="thick">
        <color rgb="FFC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2" fontId="0" fillId="0" borderId="5" xfId="0" applyNumberFormat="1" applyBorder="1"/>
    <xf numFmtId="0" fontId="0" fillId="0" borderId="9" xfId="0" applyBorder="1"/>
    <xf numFmtId="164" fontId="0" fillId="0" borderId="11" xfId="0" applyNumberFormat="1" applyBorder="1"/>
    <xf numFmtId="164" fontId="0" fillId="0" borderId="12" xfId="0" applyNumberFormat="1" applyBorder="1"/>
    <xf numFmtId="164" fontId="0" fillId="0" borderId="14" xfId="0" applyNumberFormat="1" applyBorder="1"/>
    <xf numFmtId="164" fontId="0" fillId="0" borderId="6" xfId="0" applyNumberFormat="1" applyBorder="1"/>
    <xf numFmtId="164" fontId="0" fillId="0" borderId="16" xfId="0" applyNumberFormat="1" applyBorder="1"/>
    <xf numFmtId="0" fontId="1" fillId="0" borderId="0" xfId="0" applyFont="1"/>
    <xf numFmtId="0" fontId="1" fillId="2" borderId="16" xfId="0" applyFont="1" applyFill="1" applyBorder="1"/>
    <xf numFmtId="0" fontId="0" fillId="0" borderId="4" xfId="0" applyBorder="1" applyAlignment="1">
      <alignment horizontal="center"/>
    </xf>
    <xf numFmtId="0" fontId="1" fillId="2" borderId="6" xfId="0" applyFont="1" applyFill="1" applyBorder="1"/>
    <xf numFmtId="0" fontId="0" fillId="0" borderId="18" xfId="0" applyBorder="1"/>
    <xf numFmtId="2" fontId="0" fillId="0" borderId="21" xfId="0" applyNumberFormat="1" applyBorder="1"/>
    <xf numFmtId="164" fontId="0" fillId="0" borderId="22" xfId="0" applyNumberFormat="1" applyBorder="1"/>
    <xf numFmtId="0" fontId="1" fillId="0" borderId="23" xfId="0" applyFont="1" applyBorder="1"/>
    <xf numFmtId="164" fontId="0" fillId="0" borderId="24" xfId="0" applyNumberFormat="1" applyBorder="1"/>
    <xf numFmtId="0" fontId="1" fillId="0" borderId="2" xfId="0" applyFont="1" applyBorder="1" applyAlignment="1">
      <alignment horizontal="center"/>
    </xf>
    <xf numFmtId="0" fontId="1" fillId="2" borderId="15" xfId="0" applyFont="1" applyFill="1" applyBorder="1" applyAlignment="1">
      <alignment vertical="center"/>
    </xf>
    <xf numFmtId="3" fontId="0" fillId="0" borderId="0" xfId="0" applyNumberFormat="1"/>
    <xf numFmtId="4" fontId="0" fillId="0" borderId="0" xfId="0" applyNumberFormat="1"/>
    <xf numFmtId="0" fontId="0" fillId="0" borderId="25" xfId="0" applyBorder="1"/>
    <xf numFmtId="0" fontId="1" fillId="0" borderId="26" xfId="0" applyFont="1" applyBorder="1" applyAlignment="1">
      <alignment horizontal="center"/>
    </xf>
    <xf numFmtId="164" fontId="2" fillId="0" borderId="27" xfId="0" applyNumberFormat="1" applyFont="1" applyBorder="1"/>
    <xf numFmtId="164" fontId="3" fillId="0" borderId="28" xfId="0" applyNumberFormat="1" applyFont="1" applyBorder="1"/>
    <xf numFmtId="14" fontId="0" fillId="0" borderId="3" xfId="0" applyNumberFormat="1" applyBorder="1" applyAlignment="1">
      <alignment horizontal="center"/>
    </xf>
    <xf numFmtId="0" fontId="5" fillId="0" borderId="0" xfId="0" applyFont="1"/>
    <xf numFmtId="0" fontId="4" fillId="0" borderId="0" xfId="0" applyFont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0" xfId="0" applyAlignment="1">
      <alignment wrapText="1"/>
    </xf>
    <xf numFmtId="1" fontId="0" fillId="0" borderId="13" xfId="0" applyNumberFormat="1" applyBorder="1"/>
    <xf numFmtId="0" fontId="1" fillId="0" borderId="0" xfId="0" applyFont="1" applyAlignment="1">
      <alignment horizontal="center"/>
    </xf>
    <xf numFmtId="0" fontId="1" fillId="0" borderId="20" xfId="0" applyFont="1" applyBorder="1" applyAlignment="1">
      <alignment horizontal="right"/>
    </xf>
    <xf numFmtId="0" fontId="1" fillId="0" borderId="21" xfId="0" applyFont="1" applyBorder="1" applyAlignment="1">
      <alignment horizontal="right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7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1" fillId="0" borderId="19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2" fontId="0" fillId="0" borderId="11" xfId="0" applyNumberFormat="1" applyBorder="1"/>
    <xf numFmtId="2" fontId="0" fillId="0" borderId="6" xfId="0" applyNumberFormat="1" applyBorder="1"/>
    <xf numFmtId="1" fontId="0" fillId="0" borderId="10" xfId="0" applyNumberFormat="1" applyBorder="1"/>
    <xf numFmtId="1" fontId="0" fillId="0" borderId="15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7" xfId="0" applyNumberFormat="1" applyBorder="1"/>
    <xf numFmtId="0" fontId="1" fillId="0" borderId="5" xfId="0" applyFont="1" applyBorder="1" applyAlignment="1">
      <alignment horizont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'Leitura Dados de Vôo'!$C$6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'Leitura Dados de Vôo'!$A$8:$A$248</c:f>
              <c:numCache>
                <c:formatCode>0.000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7.2960000000000003</c:v>
                </c:pt>
                <c:pt idx="39">
                  <c:v>7.4880000000000004</c:v>
                </c:pt>
                <c:pt idx="40">
                  <c:v>7.68</c:v>
                </c:pt>
                <c:pt idx="41">
                  <c:v>7.8719999999999999</c:v>
                </c:pt>
                <c:pt idx="42">
                  <c:v>8.0640000000000001</c:v>
                </c:pt>
                <c:pt idx="43">
                  <c:v>8.2560000000000002</c:v>
                </c:pt>
                <c:pt idx="44">
                  <c:v>8.4480000000000004</c:v>
                </c:pt>
                <c:pt idx="45">
                  <c:v>8.64</c:v>
                </c:pt>
                <c:pt idx="46">
                  <c:v>8.8320000000000007</c:v>
                </c:pt>
                <c:pt idx="47">
                  <c:v>9.0239999999999991</c:v>
                </c:pt>
                <c:pt idx="48">
                  <c:v>9.2159999999999993</c:v>
                </c:pt>
                <c:pt idx="49">
                  <c:v>9.4079999999999995</c:v>
                </c:pt>
                <c:pt idx="50">
                  <c:v>9.6</c:v>
                </c:pt>
                <c:pt idx="51">
                  <c:v>9.7919999999999998</c:v>
                </c:pt>
                <c:pt idx="52">
                  <c:v>9.984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</c:numCache>
            </c:numRef>
          </c:xVal>
          <c:yVal>
            <c:numRef>
              <c:f>'Leitura Dados de Vôo'!$F$8:$F$248</c:f>
              <c:numCache>
                <c:formatCode>0.0</c:formatCode>
                <c:ptCount val="241"/>
                <c:pt idx="0">
                  <c:v>0</c:v>
                </c:pt>
                <c:pt idx="1">
                  <c:v>-0.22784956507857146</c:v>
                </c:pt>
                <c:pt idx="2">
                  <c:v>-0.45569415596801832</c:v>
                </c:pt>
                <c:pt idx="3">
                  <c:v>5.9349216511913454</c:v>
                </c:pt>
                <c:pt idx="4">
                  <c:v>372.83153938529068</c:v>
                </c:pt>
                <c:pt idx="5">
                  <c:v>628.80713739478688</c:v>
                </c:pt>
                <c:pt idx="6">
                  <c:v>737.22907562294984</c:v>
                </c:pt>
                <c:pt idx="7">
                  <c:v>816.93563896520789</c:v>
                </c:pt>
                <c:pt idx="8">
                  <c:v>859.35981325763032</c:v>
                </c:pt>
                <c:pt idx="9">
                  <c:v>811.02916482066701</c:v>
                </c:pt>
                <c:pt idx="10">
                  <c:v>796.52350157331887</c:v>
                </c:pt>
                <c:pt idx="11">
                  <c:v>785.22818176017881</c:v>
                </c:pt>
                <c:pt idx="12">
                  <c:v>777.86685877054333</c:v>
                </c:pt>
                <c:pt idx="13">
                  <c:v>685.55664274148751</c:v>
                </c:pt>
                <c:pt idx="14">
                  <c:v>553.84705507811316</c:v>
                </c:pt>
                <c:pt idx="15">
                  <c:v>335.57881518676021</c:v>
                </c:pt>
                <c:pt idx="16">
                  <c:v>-0.91219389493247149</c:v>
                </c:pt>
                <c:pt idx="17">
                  <c:v>-0.91219389493247149</c:v>
                </c:pt>
                <c:pt idx="18">
                  <c:v>-1.1400235466880986</c:v>
                </c:pt>
                <c:pt idx="19">
                  <c:v>-0.68435926972597372</c:v>
                </c:pt>
                <c:pt idx="20">
                  <c:v>-1.368673667901902</c:v>
                </c:pt>
                <c:pt idx="21">
                  <c:v>-1.8251334768253145</c:v>
                </c:pt>
                <c:pt idx="22">
                  <c:v>-1.1400235466880986</c:v>
                </c:pt>
                <c:pt idx="23">
                  <c:v>-1.5964933554314058</c:v>
                </c:pt>
                <c:pt idx="24">
                  <c:v>-1.8251334768253145</c:v>
                </c:pt>
                <c:pt idx="25">
                  <c:v>-2.5101984380808631</c:v>
                </c:pt>
                <c:pt idx="26">
                  <c:v>-2.0537685896273956</c:v>
                </c:pt>
                <c:pt idx="27">
                  <c:v>-1.8251334768253145</c:v>
                </c:pt>
                <c:pt idx="28">
                  <c:v>-1.8251334768253145</c:v>
                </c:pt>
                <c:pt idx="29">
                  <c:v>-2.737993210330032</c:v>
                </c:pt>
                <c:pt idx="30">
                  <c:v>-2.737993210330032</c:v>
                </c:pt>
                <c:pt idx="31">
                  <c:v>-2.2815733236516849</c:v>
                </c:pt>
                <c:pt idx="32">
                  <c:v>-3.4221729792087956</c:v>
                </c:pt>
                <c:pt idx="33">
                  <c:v>-2.9666083273706221</c:v>
                </c:pt>
                <c:pt idx="34">
                  <c:v>-2.9666083273706221</c:v>
                </c:pt>
                <c:pt idx="35">
                  <c:v>-2.9666083273706221</c:v>
                </c:pt>
                <c:pt idx="36">
                  <c:v>-2.737993210330032</c:v>
                </c:pt>
                <c:pt idx="37">
                  <c:v>-2.9666083273706221</c:v>
                </c:pt>
                <c:pt idx="38">
                  <c:v>-3.1943931388093318</c:v>
                </c:pt>
                <c:pt idx="39">
                  <c:v>-2.737993210330032</c:v>
                </c:pt>
                <c:pt idx="40">
                  <c:v>-2.9666083273706221</c:v>
                </c:pt>
                <c:pt idx="41">
                  <c:v>-2.737993210330032</c:v>
                </c:pt>
                <c:pt idx="42">
                  <c:v>-2.9666083273706221</c:v>
                </c:pt>
                <c:pt idx="43">
                  <c:v>-3.1943931388093318</c:v>
                </c:pt>
                <c:pt idx="44">
                  <c:v>-3.1943931388093318</c:v>
                </c:pt>
                <c:pt idx="45">
                  <c:v>-3.1943931388093318</c:v>
                </c:pt>
                <c:pt idx="46">
                  <c:v>-2.9666083273706221</c:v>
                </c:pt>
                <c:pt idx="47">
                  <c:v>-3.4221729792087956</c:v>
                </c:pt>
                <c:pt idx="48">
                  <c:v>-3.4221729792087956</c:v>
                </c:pt>
                <c:pt idx="49">
                  <c:v>-3.1943931388093318</c:v>
                </c:pt>
                <c:pt idx="50">
                  <c:v>-3.4221729792087956</c:v>
                </c:pt>
                <c:pt idx="51">
                  <c:v>-2.737993210330032</c:v>
                </c:pt>
                <c:pt idx="52">
                  <c:v>-3.8777177478842333</c:v>
                </c:pt>
                <c:pt idx="53">
                  <c:v>-3.1943931388093318</c:v>
                </c:pt>
                <c:pt idx="54">
                  <c:v>-3.8777177478842333</c:v>
                </c:pt>
                <c:pt idx="55">
                  <c:v>-3.649947848824965</c:v>
                </c:pt>
                <c:pt idx="56">
                  <c:v>-3.8777177478842333</c:v>
                </c:pt>
                <c:pt idx="57">
                  <c:v>-3.8777177478842333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C8-4047-9A47-9F3FD52BA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8429248"/>
        <c:axId val="-1668433600"/>
      </c:scatterChart>
      <c:valAx>
        <c:axId val="-166842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8433600"/>
        <c:crosses val="autoZero"/>
        <c:crossBetween val="midCat"/>
        <c:majorUnit val="1"/>
      </c:valAx>
      <c:valAx>
        <c:axId val="-166843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8429248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9523</xdr:colOff>
      <xdr:row>1</xdr:row>
      <xdr:rowOff>9525</xdr:rowOff>
    </xdr:from>
    <xdr:to>
      <xdr:col>19</xdr:col>
      <xdr:colOff>600075</xdr:colOff>
      <xdr:row>22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5</xdr:col>
          <xdr:colOff>552450</xdr:colOff>
          <xdr:row>5</xdr:row>
          <xdr:rowOff>342900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5</xdr:row>
          <xdr:rowOff>9525</xdr:rowOff>
        </xdr:from>
        <xdr:to>
          <xdr:col>3</xdr:col>
          <xdr:colOff>1695450</xdr:colOff>
          <xdr:row>6</xdr:row>
          <xdr:rowOff>152400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timestamps_9" growShrinkType="overwriteClear" adjustColumnWidth="0" connectionId="266" xr16:uid="{6AD39D6C-1747-4C4D-A0A7-9E0A0CAF530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9" growShrinkType="overwriteClear" adjustColumnWidth="0" connectionId="154" xr16:uid="{4FA81A66-D016-4131-A607-5CA7F382CE5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53" growShrinkType="overwriteClear" adjustColumnWidth="0" connectionId="98" xr16:uid="{8094A51F-F504-4E11-8BB4-4D8A02133E7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timestamps_8" growShrinkType="overwriteClear" adjustColumnWidth="0" connectionId="265" xr16:uid="{AB8CBAA9-02F7-4D5D-AECE-C6641BA5317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8" growShrinkType="overwriteClear" adjustColumnWidth="0" connectionId="153" xr16:uid="{7FA60A98-9EE3-462B-A5B3-C85BC7D55E7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52" growShrinkType="overwriteClear" adjustColumnWidth="0" connectionId="97" xr16:uid="{074F5901-B13F-48F2-BE65-D26F2F3DB74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timestamps_7" growShrinkType="overwriteClear" adjustColumnWidth="0" connectionId="264" xr16:uid="{D90F9B16-A315-41C8-9DB5-90BCEF35DB67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7" growShrinkType="overwriteClear" adjustColumnWidth="0" connectionId="152" xr16:uid="{AB1BE381-4FE2-4B58-ABBD-F3C144C7B8AD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51" growShrinkType="overwriteClear" adjustColumnWidth="0" connectionId="96" xr16:uid="{858D0145-4363-4916-A019-B17EA510CC47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timestamps_6" growShrinkType="overwriteClear" adjustColumnWidth="0" connectionId="263" xr16:uid="{AF0475A5-7EDE-472C-A2F0-69BE83B964FB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6" growShrinkType="overwriteClear" adjustColumnWidth="0" connectionId="151" xr16:uid="{378C63FA-A72A-4C96-926D-68E2DE67D7E2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50" growShrinkType="overwriteClear" adjustColumnWidth="0" connectionId="95" xr16:uid="{FCAF9042-85F6-4318-84C2-4CA48C078B98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timestamps_5" growShrinkType="overwriteClear" adjustColumnWidth="0" connectionId="262" xr16:uid="{4C5E9464-6F45-44F9-BF88-76A24522FCA9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5" growShrinkType="overwriteClear" adjustColumnWidth="0" connectionId="147" xr16:uid="{D07F30DB-693D-4A8F-B7DA-805C8BFEB4C5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49" growShrinkType="overwriteClear" adjustColumnWidth="0" connectionId="94" xr16:uid="{BEDC5473-5CA4-49D7-A954-8982995FB46E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timestamps_4" growShrinkType="overwriteClear" adjustColumnWidth="0" connectionId="261" xr16:uid="{705B0F87-5973-4C18-867A-BD31FCB877BF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4" growShrinkType="overwriteClear" adjustColumnWidth="0" connectionId="144" xr16:uid="{60CF278C-9515-4673-9655-FBEEC8B9F012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48" growShrinkType="overwriteClear" adjustColumnWidth="0" connectionId="92" xr16:uid="{2FBBE752-DAB4-439F-83F9-7206EA74480F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timestamps_3" growShrinkType="overwriteClear" adjustColumnWidth="0" connectionId="260" xr16:uid="{07E26E52-F5D1-4FC9-951E-8365AA342463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3" growShrinkType="overwriteClear" adjustColumnWidth="0" connectionId="143" xr16:uid="{24B7FF3B-15F3-4C14-819A-E8D77CE3752C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47" growShrinkType="overwriteClear" adjustColumnWidth="0" connectionId="87" xr16:uid="{ADA6EAD2-A798-4980-AA88-D7F53E556793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timestamps_2" growShrinkType="overwriteClear" adjustColumnWidth="0" connectionId="259" xr16:uid="{D6FF8E42-F609-467F-A637-FF70B7B3BD7E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2" growShrinkType="overwriteClear" adjustColumnWidth="0" connectionId="142" xr16:uid="{1F59B317-C785-4D0C-9F53-0E847241C789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46" growShrinkType="overwriteClear" adjustColumnWidth="0" connectionId="86" xr16:uid="{568B1391-A7D1-4393-B154-C71F23BC1179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timestamps_1" growShrinkType="overwriteClear" adjustColumnWidth="0" connectionId="258" xr16:uid="{29C114EC-8503-4106-B478-DA5D96452D06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1" growShrinkType="overwriteClear" adjustColumnWidth="0" connectionId="141" xr16:uid="{505AC7DE-0F16-4FE7-907F-3D691E4EFA81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45" growShrinkType="overwriteClear" adjustColumnWidth="0" connectionId="85" xr16:uid="{9B826916-9E32-469B-BDEF-602B4E182693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timestamps" growShrinkType="overwriteClear" adjustColumnWidth="0" connectionId="257" xr16:uid="{D87B5947-1479-4AB7-A926-329E4326DCB6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0" growShrinkType="overwriteClear" adjustColumnWidth="0" connectionId="140" xr16:uid="{5D05D3B7-1E69-43B1-9500-A2021BAABC8C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44" growShrinkType="overwriteClear" adjustColumnWidth="0" connectionId="84" xr16:uid="{055FB2C9-FD7C-4730-85EB-26F0980F4B61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9" growShrinkType="overwriteClear" adjustColumnWidth="0" connectionId="139" xr16:uid="{488944F3-9A29-40BA-A318-ED2A4AB35AF8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43" growShrinkType="overwriteClear" adjustColumnWidth="0" connectionId="83" xr16:uid="{CCF7DB68-C298-4521-81B1-B72C15E0A862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2" growShrinkType="overwriteClear" adjustColumnWidth="0" connectionId="14" xr16:uid="{00000000-0016-0000-0100-000084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9" growShrinkType="overwriteClear" adjustColumnWidth="0" connectionId="208" xr16:uid="{00000000-0016-0000-0100-000076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6" growShrinkType="overwriteClear" adjustColumnWidth="0" connectionId="77" xr16:uid="{00000000-0016-0000-0100-000077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3" growShrinkType="overwriteClear" adjustColumnWidth="0" connectionId="207" xr16:uid="{00000000-0016-0000-0100-00005D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" growShrinkType="overwriteClear" adjustColumnWidth="0" connectionId="99" xr16:uid="{00000000-0016-0000-0100-00009D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4" growShrinkType="overwriteClear" adjustColumnWidth="0" connectionId="66" xr16:uid="{00000000-0016-0000-0100-00001B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6" growShrinkType="overwriteClear" adjustColumnWidth="0" connectionId="28" xr16:uid="{00000000-0016-0000-0100-00007C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" growShrinkType="overwriteClear" adjustColumnWidth="0" connectionId="255" xr16:uid="{00000000-0016-0000-0100-00004D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7" growShrinkType="overwriteClear" adjustColumnWidth="0" connectionId="119" xr16:uid="{B1658B36-5AF6-4AE9-9961-26D53B432DD6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1" growShrinkType="overwriteClear" adjustColumnWidth="0" connectionId="36" xr16:uid="{00000000-0016-0000-0100-00006B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5" growShrinkType="overwriteClear" adjustColumnWidth="0" connectionId="51" xr16:uid="{00000000-0016-0000-0100-00006E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2" growShrinkType="overwriteClear" adjustColumnWidth="0" connectionId="112" xr16:uid="{00000000-0016-0000-0100-000098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3" growShrinkType="overwriteClear" adjustColumnWidth="0" connectionId="15" xr16:uid="{00000000-0016-0000-0100-000067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0" growShrinkType="overwriteClear" adjustColumnWidth="0" connectionId="75" xr16:uid="{00AB8532-DF90-4711-A11B-DE7EF7E3292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9" growShrinkType="overwriteClear" adjustColumnWidth="0" connectionId="47" xr16:uid="{4FEEFFB3-B04D-4008-8B95-3055D446BF8F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8" growShrinkType="overwriteClear" adjustColumnWidth="0" connectionId="219" xr16:uid="{00000000-0016-0000-0100-00009E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7" growShrinkType="overwriteClear" adjustColumnWidth="0" connectionId="244" xr16:uid="{00000000-0016-0000-0100-000063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0" growShrinkType="overwriteClear" adjustColumnWidth="0" connectionId="79" xr16:uid="{00000000-0016-0000-0100-000032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0" growShrinkType="overwriteClear" adjustColumnWidth="0" connectionId="34" xr16:uid="{00000000-0016-0000-0100-00006A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6" growShrinkType="overwriteClear" adjustColumnWidth="0" connectionId="118" xr16:uid="{176DD55E-0FE8-46ED-B0FC-CA1DDD806A2F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8" growShrinkType="overwriteClear" adjustColumnWidth="0" connectionId="190" xr16:uid="{00000000-0016-0000-0100-000014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4" growShrinkType="overwriteClear" adjustColumnWidth="0" connectionId="69" xr16:uid="{5D1E06B3-A963-410F-9E00-360F70B45624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8" growShrinkType="overwriteClear" adjustColumnWidth="0" connectionId="109" xr16:uid="{87D49DDE-D244-4EC5-8EDD-6F277896EAAB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7" growShrinkType="overwriteClear" adjustColumnWidth="0" connectionId="233" xr16:uid="{00000000-0016-0000-0100-000038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1" growShrinkType="overwriteClear" adjustColumnWidth="0" connectionId="135" xr16:uid="{3E2F1192-DC29-4894-8F52-8AB9CD0DABCA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6" growShrinkType="overwriteClear" adjustColumnWidth="0" connectionId="52" xr16:uid="{00000000-0016-0000-0100-00003B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" growShrinkType="overwriteClear" adjustColumnWidth="0" connectionId="254" xr16:uid="{00000000-0016-0000-0100-00008B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5" growShrinkType="overwriteClear" adjustColumnWidth="0" connectionId="176" xr16:uid="{00000000-0016-0000-0100-000082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" growShrinkType="overwriteClear" adjustColumnWidth="0" connectionId="253" xr16:uid="{00000000-0016-0000-0100-000064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" growShrinkType="overwriteClear" adjustColumnWidth="0" connectionId="160" xr16:uid="{00000000-0016-0000-0100-00000A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1" growShrinkType="overwriteClear" adjustColumnWidth="0" connectionId="183" xr16:uid="{00000000-0016-0000-0100-000099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" growShrinkType="overwriteClear" adjustColumnWidth="0" connectionId="100" xr16:uid="{00000000-0016-0000-0100-000089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6" growShrinkType="overwriteClear" adjustColumnWidth="0" connectionId="199" xr16:uid="{00000000-0016-0000-0100-000095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" growShrinkType="overwriteClear" adjustColumnWidth="0" connectionId="252" xr16:uid="{00000000-0016-0000-0100-00005A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3" growShrinkType="overwriteClear" adjustColumnWidth="0" connectionId="25" xr16:uid="{00000000-0016-0000-0100-000037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8" growShrinkType="overwriteClear" adjustColumnWidth="0" connectionId="157" xr16:uid="{00000000-0016-0000-0100-000093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4" growShrinkType="overwriteClear" adjustColumnWidth="0" connectionId="55" xr16:uid="{5740487C-32F6-42E1-B766-6AC843C51C84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0" growShrinkType="overwriteClear" adjustColumnWidth="0" connectionId="236" xr16:uid="{00000000-0016-0000-0100-000078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6" growShrinkType="overwriteClear" adjustColumnWidth="0" connectionId="188" xr16:uid="{00000000-0016-0000-0100-000026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9" growShrinkType="overwriteClear" adjustColumnWidth="0" connectionId="226" xr16:uid="{00000000-0016-0000-0100-00003D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9" growShrinkType="overwriteClear" adjustColumnWidth="0" connectionId="169" xr16:uid="{00000000-0016-0000-0100-00002F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0" growShrinkType="overwriteClear" adjustColumnWidth="0" connectionId="21" xr16:uid="{00000000-0016-0000-0100-000073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0" growShrinkType="overwriteClear" adjustColumnWidth="0" connectionId="237" xr16:uid="{00000000-0016-0000-0100-000049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2" growShrinkType="overwriteClear" adjustColumnWidth="0" connectionId="114" xr16:uid="{19AC61DC-35EF-43B7-ACD5-4F49D0390DAA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23" growShrinkType="overwriteClear" adjustColumnWidth="0" connectionId="16" xr16:uid="{00000000-0016-0000-0100-000034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" growShrinkType="overwriteClear" adjustColumnWidth="0" connectionId="68" xr16:uid="{00000000-0016-0000-0100-000019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7" growShrinkType="overwriteClear" adjustColumnWidth="0" connectionId="227" xr16:uid="{00000000-0016-0000-0100-000091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9" growShrinkType="overwriteClear" adjustColumnWidth="0" connectionId="201" xr16:uid="{00000000-0016-0000-0100-000062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5" growShrinkType="overwriteClear" adjustColumnWidth="0" connectionId="242" xr16:uid="{00000000-0016-0000-0100-000079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0" growShrinkType="overwriteClear" adjustColumnWidth="0" connectionId="202" xr16:uid="{00000000-0016-0000-0100-000047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7" growShrinkType="overwriteClear" adjustColumnWidth="0" connectionId="218" xr16:uid="{00000000-0016-0000-0100-000045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9" growShrinkType="overwriteClear" adjustColumnWidth="0" connectionId="246" xr16:uid="{00000000-0016-0000-0100-00000B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" growShrinkType="overwriteClear" adjustColumnWidth="0" connectionId="24" xr16:uid="{00000000-0016-0000-0100-000046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8" growShrinkType="overwriteClear" adjustColumnWidth="0" connectionId="32" xr16:uid="{00000000-0016-0000-0100-000010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6" growShrinkType="overwriteClear" adjustColumnWidth="0" connectionId="19" xr16:uid="{00000000-0016-0000-0100-00007A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3" growShrinkType="overwriteClear" adjustColumnWidth="0" connectionId="185" xr16:uid="{00000000-0016-0000-0100-000061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6" growShrinkType="overwriteClear" adjustColumnWidth="0" connectionId="243" xr16:uid="{00000000-0016-0000-0100-000039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2" growShrinkType="overwriteClear" adjustColumnWidth="0" connectionId="65" xr16:uid="{0E91755C-CCBB-45E5-9F99-1F75C6740638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7" growShrinkType="overwriteClear" adjustColumnWidth="0" connectionId="156" xr16:uid="{00000000-0016-0000-0100-000083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5" growShrinkType="overwriteClear" adjustColumnWidth="0" connectionId="117" xr16:uid="{A46760F9-C239-413A-ABDE-1540D6C83A4B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0" growShrinkType="overwriteClear" adjustColumnWidth="0" connectionId="33" xr16:uid="{00000000-0016-0000-0100-00000D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2" growShrinkType="overwriteClear" adjustColumnWidth="0" connectionId="53" xr16:uid="{B49329B7-24E8-45C1-AF1C-AA5C19696061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8" growShrinkType="overwriteClear" adjustColumnWidth="0" connectionId="205" xr16:uid="{00000000-0016-0000-0100-000007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9" growShrinkType="overwriteClear" adjustColumnWidth="0" connectionId="57" xr16:uid="{00000000-0016-0000-0100-000075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" growShrinkType="overwriteClear" adjustColumnWidth="0" connectionId="256" xr16:uid="{00000000-0016-0000-0100-000042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3" growShrinkType="overwriteClear" adjustColumnWidth="0" connectionId="81" xr16:uid="{8C0AEFCC-A015-459A-BDA6-0FD5FFD361C5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1" growShrinkType="overwriteClear" adjustColumnWidth="0" connectionId="78" xr16:uid="{3A12B788-291A-4184-9BD2-587052F516D7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8" growShrinkType="overwriteClear" adjustColumnWidth="0" connectionId="215" xr16:uid="{00000000-0016-0000-0100-00009C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5" growShrinkType="overwriteClear" adjustColumnWidth="0" connectionId="145" xr16:uid="{00000000-0016-0000-0100-00003A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5" growShrinkType="overwriteClear" adjustColumnWidth="0" connectionId="165" xr16:uid="{00000000-0016-0000-0100-000008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4" growShrinkType="overwriteClear" adjustColumnWidth="0" connectionId="241" xr16:uid="{00000000-0016-0000-0100-00001F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6" growShrinkType="overwriteClear" adjustColumnWidth="0" connectionId="217" xr16:uid="{00000000-0016-0000-0100-000025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5" growShrinkType="overwriteClear" adjustColumnWidth="0" connectionId="76" xr16:uid="{00000000-0016-0000-0100-000054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0" growShrinkType="overwriteClear" adjustColumnWidth="0" connectionId="170" xr16:uid="{00000000-0016-0000-0100-000033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0" growShrinkType="overwriteClear" adjustColumnWidth="0" connectionId="45" xr16:uid="{00000000-0016-0000-0100-000017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9" growShrinkType="overwriteClear" adjustColumnWidth="0" connectionId="121" xr16:uid="{51835A00-595C-4261-8229-8ED11B4551C5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7" growShrinkType="overwriteClear" adjustColumnWidth="0" connectionId="167" xr16:uid="{00000000-0016-0000-0100-000022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1" growShrinkType="overwriteClear" adjustColumnWidth="0" connectionId="22" xr16:uid="{00000000-0016-0000-0100-000056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4" growShrinkType="overwriteClear" adjustColumnWidth="0" connectionId="50" xr16:uid="{00000000-0016-0000-0100-000092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6" growShrinkType="overwriteClear" adjustColumnWidth="0" connectionId="225" xr16:uid="{00000000-0016-0000-0100-000012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5" growShrinkType="overwriteClear" adjustColumnWidth="0" connectionId="6" xr16:uid="{00000000-0016-0000-0100-000071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4" growShrinkType="overwriteClear" adjustColumnWidth="0" connectionId="197" xr16:uid="{00000000-0016-0000-0100-000085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4" growShrinkType="overwriteClear" adjustColumnWidth="0" connectionId="17" xr16:uid="{00000000-0016-0000-0100-00005B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7" growShrinkType="overwriteClear" adjustColumnWidth="0" connectionId="72" xr16:uid="{17223984-EF4C-49AE-B261-7E4AD7062BD5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" growShrinkType="overwriteClear" adjustColumnWidth="0" connectionId="13" xr16:uid="{00000000-0016-0000-0100-00009A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6" growShrinkType="overwriteClear" adjustColumnWidth="0" connectionId="43" xr16:uid="{E38FE3A8-BFC3-436A-9287-AD2B30C015B7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3" growShrinkType="overwriteClear" adjustColumnWidth="0" connectionId="115" xr16:uid="{DDED72CA-57A0-4B2D-A017-E3EEE0F348FD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" growShrinkType="overwriteClear" adjustColumnWidth="0" connectionId="1" xr16:uid="{00000000-0016-0000-0100-000087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3" growShrinkType="overwriteClear" adjustColumnWidth="0" connectionId="137" xr16:uid="{FBE7F9F0-5A4E-4BA2-8B94-DA21295874ED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2" growShrinkType="overwriteClear" adjustColumnWidth="0" connectionId="195" xr16:uid="{00000000-0016-0000-0100-000090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0" growShrinkType="overwriteClear" adjustColumnWidth="0" connectionId="111" xr16:uid="{B86672F4-6E66-48BC-8612-98C0BE396A7F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8" growShrinkType="overwriteClear" adjustColumnWidth="0" connectionId="30" xr16:uid="{00000000-0016-0000-0100-00003E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1" growShrinkType="overwriteClear" adjustColumnWidth="0" connectionId="90" xr16:uid="{00000000-0016-0000-0100-00002B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0" growShrinkType="overwriteClear" adjustColumnWidth="0" connectionId="192" xr16:uid="{00000000-0016-0000-0100-00000F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9" growShrinkType="overwriteClear" adjustColumnWidth="0" connectionId="62" xr16:uid="{57A0E7D2-9230-4A35-9D59-A04D6715FA48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1" growShrinkType="overwriteClear" adjustColumnWidth="0" connectionId="37" xr16:uid="{00000000-0016-0000-0100-00005E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5" growShrinkType="overwriteClear" adjustColumnWidth="0" connectionId="70" xr16:uid="{E31B6D76-5BFB-49F7-AE2C-39C9E8C2B6EA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7" growShrinkType="overwriteClear" adjustColumnWidth="0" connectionId="60" xr16:uid="{C72944D2-6A35-4E17-8622-55611F7EDB4D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7" growShrinkType="overwriteClear" adjustColumnWidth="0" connectionId="130" xr16:uid="{1CF2FA84-C080-4EFF-BD3A-9D151B447015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0" growShrinkType="overwriteClear" adjustColumnWidth="0" connectionId="209" xr16:uid="{00000000-0016-0000-0100-00006C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3" growShrinkType="overwriteClear" adjustColumnWidth="0" connectionId="38" xr16:uid="{00000000-0016-0000-0100-000029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4" growShrinkType="overwriteClear" adjustColumnWidth="0" connectionId="5" xr16:uid="{00000000-0016-0000-0100-000088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2" growShrinkType="overwriteClear" adjustColumnWidth="0" connectionId="211" xr16:uid="{00000000-0016-0000-0100-000015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8" growShrinkType="overwriteClear" adjustColumnWidth="0" connectionId="58" xr16:uid="{00000000-0016-0000-0100-00004E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3" growShrinkType="overwriteClear" adjustColumnWidth="0" connectionId="212" xr16:uid="{00000000-0016-0000-0100-00009F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3" growShrinkType="overwriteClear" adjustColumnWidth="0" connectionId="123" xr16:uid="{00000000-0016-0000-0100-00008C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8" growShrinkType="overwriteClear" adjustColumnWidth="0" connectionId="234" xr16:uid="{00000000-0016-0000-0100-00001D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" growShrinkType="overwriteClear" adjustColumnWidth="0" connectionId="2" xr16:uid="{00000000-0016-0000-0100-00005C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3" growShrinkType="overwriteClear" adjustColumnWidth="0" connectionId="67" xr16:uid="{5FA05716-6C01-43B3-BC7C-24F2651F7FD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4" growShrinkType="overwriteClear" adjustColumnWidth="0" connectionId="26" xr16:uid="{00000000-0016-0000-0100-000009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6" growShrinkType="overwriteClear" adjustColumnWidth="0" connectionId="129" xr16:uid="{342E2303-DF44-4321-8307-DAF2CCFF435E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41" growShrinkType="overwriteClear" adjustColumnWidth="0" connectionId="91" xr16:uid="{5D4C3B9C-78CE-4E53-B73B-CD9D114CB1D7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9" growShrinkType="overwriteClear" adjustColumnWidth="0" connectionId="220" xr16:uid="{00000000-0016-0000-0100-000096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9" growShrinkType="overwriteClear" adjustColumnWidth="0" connectionId="132" xr16:uid="{7AC5054A-F3A2-4F6F-BD66-B276B884AF63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" growShrinkType="overwriteClear" adjustColumnWidth="0" connectionId="250" xr16:uid="{00000000-0016-0000-0100-000040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4" growShrinkType="overwriteClear" adjustColumnWidth="0" connectionId="186" xr16:uid="{00000000-0016-0000-0100-000023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3" growShrinkType="overwriteClear" adjustColumnWidth="0" connectionId="4" xr16:uid="{00000000-0016-0000-0100-000053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" growShrinkType="overwriteClear" adjustColumnWidth="0" connectionId="182" xr16:uid="{00000000-0016-0000-0100-0000A3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3" growShrinkType="overwriteClear" adjustColumnWidth="0" connectionId="163" xr16:uid="{00000000-0016-0000-0100-000059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9" growShrinkType="overwriteClear" adjustColumnWidth="0" connectionId="191" xr16:uid="{00000000-0016-0000-0100-000006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1" growShrinkType="overwriteClear" adjustColumnWidth="0" connectionId="49" xr16:uid="{F586EC86-22F1-41F4-B6E9-7FF919687998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0" growShrinkType="overwriteClear" adjustColumnWidth="0" connectionId="181" xr16:uid="{00000000-0016-0000-0100-00000E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6" growShrinkType="overwriteClear" adjustColumnWidth="0" connectionId="74" xr16:uid="{C2A3E20F-2D59-4190-8696-B0EEE7161014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9" growShrinkType="overwriteClear" adjustColumnWidth="0" connectionId="158" xr16:uid="{00000000-0016-0000-0100-000030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1" growShrinkType="overwriteClear" adjustColumnWidth="0" connectionId="12" xr16:uid="{00000000-0016-0000-0100-00008F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6" growShrinkType="overwriteClear" adjustColumnWidth="0" connectionId="148" xr16:uid="{719F3190-BDDD-41C6-BEAE-90118DCE9B4E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8" growShrinkType="overwriteClear" adjustColumnWidth="0" connectionId="120" xr16:uid="{D4B51651-1958-47A9-BA02-DF2023224E9E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8" growShrinkType="overwriteClear" adjustColumnWidth="0" connectionId="168" xr16:uid="{00000000-0016-0000-0100-00004B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5" growShrinkType="overwriteClear" adjustColumnWidth="0" connectionId="187" xr16:uid="{00000000-0016-0000-0100-000016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0" growShrinkType="overwriteClear" adjustColumnWidth="0" connectionId="48" xr16:uid="{8B71DAE2-2AFF-4356-990A-0C2A08EDB6D4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8" growShrinkType="overwriteClear" adjustColumnWidth="0" connectionId="179" xr16:uid="{00000000-0016-0000-0100-000051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2" growShrinkType="overwriteClear" adjustColumnWidth="0" connectionId="184" xr16:uid="{00000000-0016-0000-0100-00007000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1" growShrinkType="overwriteClear" adjustColumnWidth="0" connectionId="210" xr16:uid="{00000000-0016-0000-0100-00007D00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4" growShrinkType="overwriteClear" adjustColumnWidth="0" connectionId="213" xr16:uid="{00000000-0016-0000-0100-000001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0" growShrinkType="overwriteClear" adjustColumnWidth="0" connectionId="247" xr16:uid="{00000000-0016-0000-0100-00008000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7" growShrinkType="overwriteClear" adjustColumnWidth="0" connectionId="189" xr16:uid="{00000000-0016-0000-0100-00006500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9" growShrinkType="overwriteClear" adjustColumnWidth="0" connectionId="20" xr16:uid="{00000000-0016-0000-0100-00004C00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4" growShrinkType="overwriteClear" adjustColumnWidth="0" connectionId="41" xr16:uid="{68C1EE2D-B666-4802-B614-8B612BC1608F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8" growShrinkType="overwriteClear" adjustColumnWidth="0" connectionId="9" xr16:uid="{00000000-0016-0000-0100-000074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3" growShrinkType="overwriteClear" adjustColumnWidth="0" connectionId="228" xr16:uid="{00000000-0016-0000-0100-00001E00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8" growShrinkType="overwriteClear" adjustColumnWidth="0" connectionId="131" xr16:uid="{63D64AC8-0F1D-40C1-B9AE-7F655570F82D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4" growShrinkType="overwriteClear" adjustColumnWidth="0" connectionId="105" xr16:uid="{C8928A45-C01B-4D57-A2AE-33D711A04DF7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2" growShrinkType="overwriteClear" adjustColumnWidth="0" connectionId="136" xr16:uid="{454F84A2-7814-4518-ACBC-3B512BBE1593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7" growShrinkType="overwriteClear" adjustColumnWidth="0" connectionId="29" xr16:uid="{00000000-0016-0000-0100-00002D00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3" growShrinkType="overwriteClear" adjustColumnWidth="0" connectionId="54" xr16:uid="{B0BC410B-E1A2-46B7-ACA6-C8D1E7D7735E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7" growShrinkType="overwriteClear" adjustColumnWidth="0" connectionId="200" xr16:uid="{00000000-0016-0000-0100-00002700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9" growShrinkType="overwriteClear" adjustColumnWidth="0" connectionId="10" xr16:uid="{00000000-0016-0000-0100-00000500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8" growShrinkType="overwriteClear" adjustColumnWidth="0" connectionId="61" xr16:uid="{827A5590-7E57-44B4-90CF-FBAB140B8BF8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1" growShrinkType="overwriteClear" adjustColumnWidth="0" connectionId="203" xr16:uid="{00000000-0016-0000-0100-00009400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4" growShrinkType="overwriteClear" adjustColumnWidth="0" connectionId="127" xr16:uid="{64412F5C-0D1A-4AE5-B6EE-3E1A4C06ED2E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9" growShrinkType="overwriteClear" adjustColumnWidth="0" connectionId="44" xr16:uid="{00000000-0016-0000-0100-00002000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3" growShrinkType="overwriteClear" adjustColumnWidth="0" connectionId="196" xr16:uid="{00000000-0016-0000-0100-00003F00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7" growShrinkType="overwriteClear" adjustColumnWidth="0" connectionId="149" xr16:uid="{EAE5BB61-DCE4-4380-B94C-B5DBF87663BE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5" growShrinkType="overwriteClear" adjustColumnWidth="0" connectionId="128" xr16:uid="{6D3FB77A-203E-450D-B7AB-8EC2A0BC3E5D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2" growShrinkType="overwriteClear" adjustColumnWidth="0" connectionId="173" xr16:uid="{00000000-0016-0000-0100-00003100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5" growShrinkType="overwriteClear" adjustColumnWidth="0" connectionId="216" xr16:uid="{00000000-0016-0000-0100-00007B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5" growShrinkType="overwriteClear" adjustColumnWidth="0" connectionId="56" xr16:uid="{9A308F1D-FB63-4EDB-80DA-F22C270C964B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6" growShrinkType="overwriteClear" adjustColumnWidth="0" connectionId="231" xr16:uid="{00000000-0016-0000-0100-0000A100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0" growShrinkType="overwriteClear" adjustColumnWidth="0" connectionId="122" xr16:uid="{2B5A9968-ED1E-420C-941F-646765FAA09F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0" growShrinkType="overwriteClear" adjustColumnWidth="0" connectionId="133" xr16:uid="{A908DF17-DB8B-4076-9BA0-6F2A76497C66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9" growShrinkType="overwriteClear" adjustColumnWidth="0" connectionId="31" xr16:uid="{00000000-0016-0000-0100-00005F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7" growShrinkType="overwriteClear" adjustColumnWidth="0" connectionId="39" xr16:uid="{9725E051-E77A-4863-8708-E4BDE27204C4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6" growShrinkType="overwriteClear" adjustColumnWidth="0" connectionId="193" xr16:uid="{00000000-0016-0000-0100-00006F00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1" growShrinkType="overwriteClear" adjustColumnWidth="0" connectionId="222" xr16:uid="{00000000-0016-0000-0100-00004F00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" growShrinkType="overwriteClear" adjustColumnWidth="0" connectionId="251" xr16:uid="{00000000-0016-0000-0100-00004100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7" growShrinkType="overwriteClear" adjustColumnWidth="0" connectionId="178" xr16:uid="{00000000-0016-0000-0100-0000A200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1" growShrinkType="overwriteClear" adjustColumnWidth="0" connectionId="124" xr16:uid="{F21CC65A-CC61-4D49-9217-46CDC69B8AD3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5" growShrinkType="overwriteClear" adjustColumnWidth="0" connectionId="224" xr16:uid="{00000000-0016-0000-0100-00002400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6" growShrinkType="overwriteClear" adjustColumnWidth="0" connectionId="155" xr16:uid="{00000000-0016-0000-0100-0000A000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4" growShrinkType="overwriteClear" adjustColumnWidth="0" connectionId="164" xr16:uid="{00000000-0016-0000-0100-00000000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2" growShrinkType="overwriteClear" adjustColumnWidth="0" connectionId="223" xr16:uid="{00000000-0016-0000-0100-00008E00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8" growShrinkType="overwriteClear" adjustColumnWidth="0" connectionId="82" xr16:uid="{3601DCE8-9ABB-4ABA-9580-791636918125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4" growShrinkType="overwriteClear" adjustColumnWidth="0" connectionId="214" xr16:uid="{00000000-0016-0000-0100-00007200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42" growShrinkType="overwriteClear" adjustColumnWidth="0" connectionId="93" xr16:uid="{A9D6159D-2392-490F-BC2F-DFDE62937F5D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9" growShrinkType="overwriteClear" adjustColumnWidth="0" connectionId="180" xr16:uid="{00000000-0016-0000-0100-00004300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2" growShrinkType="overwriteClear" adjustColumnWidth="0" connectionId="3" xr16:uid="{00000000-0016-0000-0100-00009700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5" growShrinkType="overwriteClear" adjustColumnWidth="0" connectionId="106" xr16:uid="{A3C8593B-D27D-4678-8CA8-3361D5E05085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1" growShrinkType="overwriteClear" adjustColumnWidth="0" connectionId="102" xr16:uid="{00000000-0016-0000-0100-00002C00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1" growShrinkType="overwriteClear" adjustColumnWidth="0" connectionId="172" xr16:uid="{00000000-0016-0000-0100-00001C00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4" growShrinkType="overwriteClear" adjustColumnWidth="0" connectionId="134" xr16:uid="{00000000-0016-0000-0100-00005500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3" growShrinkType="overwriteClear" adjustColumnWidth="0" connectionId="174" xr16:uid="{00000000-0016-0000-0100-00008100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9" growShrinkType="overwriteClear" adjustColumnWidth="0" connectionId="88" xr16:uid="{06A58E71-3D3E-41C5-8D3B-9B96A02D2A21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" growShrinkType="overwriteClear" adjustColumnWidth="0" connectionId="249" xr16:uid="{00000000-0016-0000-0100-00007F00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2" growShrinkType="overwriteClear" adjustColumnWidth="0" connectionId="125" xr16:uid="{0DEE5D4C-8C83-4DB7-9EF1-8330469F2649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9" growShrinkType="overwriteClear" adjustColumnWidth="0" connectionId="110" xr16:uid="{AEB34AAE-C13E-4E35-ADEE-125A223845AA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0" growShrinkType="overwriteClear" adjustColumnWidth="0" connectionId="11" xr16:uid="{00000000-0016-0000-0100-00000400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8" growShrinkType="overwriteClear" adjustColumnWidth="0" connectionId="46" xr16:uid="{00000000-0016-0000-0100-00003500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7" growShrinkType="overwriteClear" adjustColumnWidth="0" connectionId="8" xr16:uid="{00000000-0016-0000-0100-00002E00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6" growShrinkType="overwriteClear" adjustColumnWidth="0" connectionId="71" xr16:uid="{9DF3DE8B-CAB0-4BF0-9C67-30CF71A4C083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7" growShrinkType="overwriteClear" adjustColumnWidth="0" connectionId="108" xr16:uid="{185D10D4-7DAC-444F-8F27-D8EB85018E44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6" growShrinkType="overwriteClear" adjustColumnWidth="0" connectionId="177" xr16:uid="{00000000-0016-0000-0100-00000300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5" growShrinkType="overwriteClear" adjustColumnWidth="0" connectionId="230" xr16:uid="{00000000-0016-0000-0100-00001300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1" growShrinkType="overwriteClear" adjustColumnWidth="0" connectionId="194" xr16:uid="{00000000-0016-0000-0100-00006D00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2" growShrinkType="overwriteClear" adjustColumnWidth="0" connectionId="206" xr16:uid="{00000000-0016-0000-0100-00003600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8" growShrinkType="overwriteClear" adjustColumnWidth="0" connectionId="150" xr16:uid="{94D88BEE-3771-4C23-8C63-AE7F526347F3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3" growShrinkType="overwriteClear" adjustColumnWidth="0" connectionId="240" xr16:uid="{00000000-0016-0000-0100-00003C00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" growShrinkType="overwriteClear" adjustColumnWidth="0" connectionId="248" xr16:uid="{00000000-0016-0000-0100-00007E00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1" growShrinkType="overwriteClear" adjustColumnWidth="0" connectionId="64" xr16:uid="{2F6DAE02-CF35-4965-B73B-F2B163FCE8AB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6" growShrinkType="overwriteClear" adjustColumnWidth="0" connectionId="107" xr16:uid="{761DED52-CB70-45CD-9305-2FC44CB19419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2" growShrinkType="overwriteClear" adjustColumnWidth="0" connectionId="23" xr16:uid="{00000000-0016-0000-0100-00004400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8" growShrinkType="overwriteClear" adjustColumnWidth="0" connectionId="232" xr16:uid="{00000000-0016-0000-0100-00006000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2" growShrinkType="overwriteClear" adjustColumnWidth="0" connectionId="162" xr16:uid="{00000000-0016-0000-0100-00008D00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1" growShrinkType="overwriteClear" adjustColumnWidth="0" connectionId="101" xr16:uid="{00000000-0016-0000-0100-00006900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8" growShrinkType="overwriteClear" adjustColumnWidth="0" connectionId="40" xr16:uid="{46AD0D49-D791-4056-BCB2-5736EF0A5C83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0" growShrinkType="overwriteClear" adjustColumnWidth="0" connectionId="221" xr16:uid="{00000000-0016-0000-0100-00001100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5" growShrinkType="overwriteClear" adjustColumnWidth="0" connectionId="146" xr16:uid="{E8CADF53-ADC9-4B86-BBF8-5273623361A7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2" growShrinkType="overwriteClear" adjustColumnWidth="0" connectionId="103" xr16:uid="{00000000-0016-0000-0100-00004800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7" growShrinkType="overwriteClear" adjustColumnWidth="0" connectionId="204" xr16:uid="{00000000-0016-0000-0100-000086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0" growShrinkType="overwriteClear" adjustColumnWidth="0" connectionId="159" xr16:uid="{00000000-0016-0000-0100-00004A00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5" growShrinkType="overwriteClear" adjustColumnWidth="0" connectionId="27" xr16:uid="{00000000-0016-0000-0100-00006600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0" growShrinkType="overwriteClear" adjustColumnWidth="0" connectionId="63" xr16:uid="{064D27B1-19F5-4A4B-8E94-82D1F924320E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8" growShrinkType="overwriteClear" adjustColumnWidth="0" connectionId="245" xr16:uid="{00000000-0016-0000-0100-00000C00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4" growShrinkType="overwriteClear" adjustColumnWidth="0" connectionId="116" xr16:uid="{A71F179D-438A-478F-B9BC-DEB5F18121D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3" growShrinkType="overwriteClear" adjustColumnWidth="0" connectionId="104" xr16:uid="{00000000-0016-0000-0100-00008A00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7" growShrinkType="overwriteClear" adjustColumnWidth="0" connectionId="35" xr16:uid="{00000000-0016-0000-0100-00005800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5" growShrinkType="overwriteClear" adjustColumnWidth="0" connectionId="198" xr16:uid="{00000000-0016-0000-0100-00009B00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1" growShrinkType="overwriteClear" adjustColumnWidth="0" connectionId="238" xr16:uid="{00000000-0016-0000-0100-00001A00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1" growShrinkType="overwriteClear" adjustColumnWidth="0" connectionId="161" xr16:uid="{00000000-0016-0000-0100-00000200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4" growShrinkType="overwriteClear" adjustColumnWidth="0" connectionId="175" xr16:uid="{00000000-0016-0000-0100-00006800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5" growShrinkType="overwriteClear" adjustColumnWidth="0" connectionId="18" xr16:uid="{00000000-0016-0000-0100-00001800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5" growShrinkType="overwriteClear" adjustColumnWidth="0" connectionId="42" xr16:uid="{2C1D619C-1B05-478F-89B2-EB678E3EDB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6" growShrinkType="overwriteClear" adjustColumnWidth="0" connectionId="7" xr16:uid="{00000000-0016-0000-0100-00005000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7" growShrinkType="overwriteClear" adjustColumnWidth="0" connectionId="80" xr16:uid="{667DFD89-EC32-4811-AE20-FB8BD74289EA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6" growShrinkType="overwriteClear" adjustColumnWidth="0" connectionId="59" xr16:uid="{020301FC-49DA-49C5-9697-1596E5876CFB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6" growShrinkType="overwriteClear" adjustColumnWidth="0" connectionId="166" xr16:uid="{00000000-0016-0000-0100-00005200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2" growShrinkType="overwriteClear" adjustColumnWidth="0" connectionId="239" xr16:uid="{00000000-0016-0000-0100-00002800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9" growShrinkType="overwriteClear" adjustColumnWidth="0" connectionId="235" xr16:uid="{00000000-0016-0000-0100-00005700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40" growShrinkType="overwriteClear" adjustColumnWidth="0" connectionId="89" xr16:uid="{2B0B9C79-2254-4624-ADD2-495C832BB0EE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1" growShrinkType="overwriteClear" adjustColumnWidth="0" connectionId="113" xr16:uid="{0E737FCC-AB25-49E0-A540-D9F83FAE3F85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3" growShrinkType="overwriteClear" adjustColumnWidth="0" connectionId="126" xr16:uid="{F13BDB15-5CEF-43CF-81B9-83C8079B6DEF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5" growShrinkType="overwriteClear" adjustColumnWidth="0" connectionId="73" xr16:uid="{0D45C413-C6EE-41D3-9459-D59F62376136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" growShrinkType="overwriteClear" adjustColumnWidth="0" connectionId="171" xr16:uid="{00000000-0016-0000-0100-00002A00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4" growShrinkType="overwriteClear" adjustColumnWidth="0" connectionId="229" xr16:uid="{00000000-0016-0000-0100-00002100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4" growShrinkType="overwriteClear" adjustColumnWidth="0" connectionId="138" xr16:uid="{0B45C9BF-E722-4A4A-9EA0-98F8D8C93D1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2.xml"/><Relationship Id="rId21" Type="http://schemas.openxmlformats.org/officeDocument/2006/relationships/queryTable" Target="../queryTables/queryTable16.xml"/><Relationship Id="rId63" Type="http://schemas.openxmlformats.org/officeDocument/2006/relationships/queryTable" Target="../queryTables/queryTable58.xml"/><Relationship Id="rId159" Type="http://schemas.openxmlformats.org/officeDocument/2006/relationships/queryTable" Target="../queryTables/queryTable154.xml"/><Relationship Id="rId170" Type="http://schemas.openxmlformats.org/officeDocument/2006/relationships/queryTable" Target="../queryTables/queryTable165.xml"/><Relationship Id="rId226" Type="http://schemas.openxmlformats.org/officeDocument/2006/relationships/queryTable" Target="../queryTables/queryTable221.xml"/><Relationship Id="rId268" Type="http://schemas.openxmlformats.org/officeDocument/2006/relationships/queryTable" Target="../queryTables/queryTable263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53" Type="http://schemas.openxmlformats.org/officeDocument/2006/relationships/queryTable" Target="../queryTables/queryTable48.xml"/><Relationship Id="rId74" Type="http://schemas.openxmlformats.org/officeDocument/2006/relationships/queryTable" Target="../queryTables/queryTable69.xml"/><Relationship Id="rId128" Type="http://schemas.openxmlformats.org/officeDocument/2006/relationships/queryTable" Target="../queryTables/queryTable123.xml"/><Relationship Id="rId149" Type="http://schemas.openxmlformats.org/officeDocument/2006/relationships/queryTable" Target="../queryTables/queryTable14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90.xml"/><Relationship Id="rId160" Type="http://schemas.openxmlformats.org/officeDocument/2006/relationships/queryTable" Target="../queryTables/queryTable155.xml"/><Relationship Id="rId181" Type="http://schemas.openxmlformats.org/officeDocument/2006/relationships/queryTable" Target="../queryTables/queryTable176.xml"/><Relationship Id="rId216" Type="http://schemas.openxmlformats.org/officeDocument/2006/relationships/queryTable" Target="../queryTables/queryTable211.xml"/><Relationship Id="rId237" Type="http://schemas.openxmlformats.org/officeDocument/2006/relationships/queryTable" Target="../queryTables/queryTable232.xml"/><Relationship Id="rId258" Type="http://schemas.openxmlformats.org/officeDocument/2006/relationships/queryTable" Target="../queryTables/queryTable253.xml"/><Relationship Id="rId22" Type="http://schemas.openxmlformats.org/officeDocument/2006/relationships/queryTable" Target="../queryTables/queryTable17.xml"/><Relationship Id="rId43" Type="http://schemas.openxmlformats.org/officeDocument/2006/relationships/queryTable" Target="../queryTables/queryTable38.xml"/><Relationship Id="rId64" Type="http://schemas.openxmlformats.org/officeDocument/2006/relationships/queryTable" Target="../queryTables/queryTable59.xml"/><Relationship Id="rId118" Type="http://schemas.openxmlformats.org/officeDocument/2006/relationships/queryTable" Target="../queryTables/queryTable113.xml"/><Relationship Id="rId139" Type="http://schemas.openxmlformats.org/officeDocument/2006/relationships/queryTable" Target="../queryTables/queryTable134.xml"/><Relationship Id="rId85" Type="http://schemas.openxmlformats.org/officeDocument/2006/relationships/queryTable" Target="../queryTables/queryTable80.xml"/><Relationship Id="rId150" Type="http://schemas.openxmlformats.org/officeDocument/2006/relationships/queryTable" Target="../queryTables/queryTable145.xml"/><Relationship Id="rId171" Type="http://schemas.openxmlformats.org/officeDocument/2006/relationships/queryTable" Target="../queryTables/queryTable166.xml"/><Relationship Id="rId192" Type="http://schemas.openxmlformats.org/officeDocument/2006/relationships/queryTable" Target="../queryTables/queryTable187.xml"/><Relationship Id="rId206" Type="http://schemas.openxmlformats.org/officeDocument/2006/relationships/queryTable" Target="../queryTables/queryTable201.xml"/><Relationship Id="rId227" Type="http://schemas.openxmlformats.org/officeDocument/2006/relationships/queryTable" Target="../queryTables/queryTable222.xml"/><Relationship Id="rId248" Type="http://schemas.openxmlformats.org/officeDocument/2006/relationships/queryTable" Target="../queryTables/queryTable243.xml"/><Relationship Id="rId269" Type="http://schemas.openxmlformats.org/officeDocument/2006/relationships/queryTable" Target="../queryTables/queryTable264.xml"/><Relationship Id="rId12" Type="http://schemas.openxmlformats.org/officeDocument/2006/relationships/queryTable" Target="../queryTables/queryTable7.xml"/><Relationship Id="rId33" Type="http://schemas.openxmlformats.org/officeDocument/2006/relationships/queryTable" Target="../queryTables/queryTable28.xml"/><Relationship Id="rId108" Type="http://schemas.openxmlformats.org/officeDocument/2006/relationships/queryTable" Target="../queryTables/queryTable103.xml"/><Relationship Id="rId129" Type="http://schemas.openxmlformats.org/officeDocument/2006/relationships/queryTable" Target="../queryTables/queryTable124.xml"/><Relationship Id="rId54" Type="http://schemas.openxmlformats.org/officeDocument/2006/relationships/queryTable" Target="../queryTables/queryTable49.xml"/><Relationship Id="rId75" Type="http://schemas.openxmlformats.org/officeDocument/2006/relationships/queryTable" Target="../queryTables/queryTable70.xml"/><Relationship Id="rId96" Type="http://schemas.openxmlformats.org/officeDocument/2006/relationships/queryTable" Target="../queryTables/queryTable91.xml"/><Relationship Id="rId140" Type="http://schemas.openxmlformats.org/officeDocument/2006/relationships/queryTable" Target="../queryTables/queryTable135.xml"/><Relationship Id="rId161" Type="http://schemas.openxmlformats.org/officeDocument/2006/relationships/queryTable" Target="../queryTables/queryTable156.xml"/><Relationship Id="rId182" Type="http://schemas.openxmlformats.org/officeDocument/2006/relationships/queryTable" Target="../queryTables/queryTable177.xml"/><Relationship Id="rId217" Type="http://schemas.openxmlformats.org/officeDocument/2006/relationships/queryTable" Target="../queryTables/queryTable212.xml"/><Relationship Id="rId6" Type="http://schemas.openxmlformats.org/officeDocument/2006/relationships/queryTable" Target="../queryTables/queryTable1.xml"/><Relationship Id="rId238" Type="http://schemas.openxmlformats.org/officeDocument/2006/relationships/queryTable" Target="../queryTables/queryTable233.xml"/><Relationship Id="rId259" Type="http://schemas.openxmlformats.org/officeDocument/2006/relationships/queryTable" Target="../queryTables/queryTable254.xml"/><Relationship Id="rId23" Type="http://schemas.openxmlformats.org/officeDocument/2006/relationships/queryTable" Target="../queryTables/queryTable18.xml"/><Relationship Id="rId119" Type="http://schemas.openxmlformats.org/officeDocument/2006/relationships/queryTable" Target="../queryTables/queryTable114.xml"/><Relationship Id="rId270" Type="http://schemas.openxmlformats.org/officeDocument/2006/relationships/queryTable" Target="../queryTables/queryTable265.xml"/><Relationship Id="rId44" Type="http://schemas.openxmlformats.org/officeDocument/2006/relationships/queryTable" Target="../queryTables/queryTable39.xml"/><Relationship Id="rId65" Type="http://schemas.openxmlformats.org/officeDocument/2006/relationships/queryTable" Target="../queryTables/queryTable60.xml"/><Relationship Id="rId86" Type="http://schemas.openxmlformats.org/officeDocument/2006/relationships/queryTable" Target="../queryTables/queryTable81.xml"/><Relationship Id="rId130" Type="http://schemas.openxmlformats.org/officeDocument/2006/relationships/queryTable" Target="../queryTables/queryTable125.xml"/><Relationship Id="rId151" Type="http://schemas.openxmlformats.org/officeDocument/2006/relationships/queryTable" Target="../queryTables/queryTable146.xml"/><Relationship Id="rId172" Type="http://schemas.openxmlformats.org/officeDocument/2006/relationships/queryTable" Target="../queryTables/queryTable167.xml"/><Relationship Id="rId193" Type="http://schemas.openxmlformats.org/officeDocument/2006/relationships/queryTable" Target="../queryTables/queryTable188.xml"/><Relationship Id="rId207" Type="http://schemas.openxmlformats.org/officeDocument/2006/relationships/queryTable" Target="../queryTables/queryTable202.xml"/><Relationship Id="rId228" Type="http://schemas.openxmlformats.org/officeDocument/2006/relationships/queryTable" Target="../queryTables/queryTable223.xml"/><Relationship Id="rId249" Type="http://schemas.openxmlformats.org/officeDocument/2006/relationships/queryTable" Target="../queryTables/queryTable244.xml"/><Relationship Id="rId13" Type="http://schemas.openxmlformats.org/officeDocument/2006/relationships/queryTable" Target="../queryTables/queryTable8.xml"/><Relationship Id="rId109" Type="http://schemas.openxmlformats.org/officeDocument/2006/relationships/queryTable" Target="../queryTables/queryTable104.xml"/><Relationship Id="rId260" Type="http://schemas.openxmlformats.org/officeDocument/2006/relationships/queryTable" Target="../queryTables/queryTable255.xml"/><Relationship Id="rId34" Type="http://schemas.openxmlformats.org/officeDocument/2006/relationships/queryTable" Target="../queryTables/queryTable29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20" Type="http://schemas.openxmlformats.org/officeDocument/2006/relationships/queryTable" Target="../queryTables/queryTable115.xml"/><Relationship Id="rId141" Type="http://schemas.openxmlformats.org/officeDocument/2006/relationships/queryTable" Target="../queryTables/queryTable136.xml"/><Relationship Id="rId7" Type="http://schemas.openxmlformats.org/officeDocument/2006/relationships/queryTable" Target="../queryTables/queryTable2.xml"/><Relationship Id="rId162" Type="http://schemas.openxmlformats.org/officeDocument/2006/relationships/queryTable" Target="../queryTables/queryTable157.xml"/><Relationship Id="rId183" Type="http://schemas.openxmlformats.org/officeDocument/2006/relationships/queryTable" Target="../queryTables/queryTable178.xml"/><Relationship Id="rId218" Type="http://schemas.openxmlformats.org/officeDocument/2006/relationships/queryTable" Target="../queryTables/queryTable213.xml"/><Relationship Id="rId239" Type="http://schemas.openxmlformats.org/officeDocument/2006/relationships/queryTable" Target="../queryTables/queryTable234.xml"/><Relationship Id="rId250" Type="http://schemas.openxmlformats.org/officeDocument/2006/relationships/queryTable" Target="../queryTables/queryTable245.xml"/><Relationship Id="rId271" Type="http://schemas.openxmlformats.org/officeDocument/2006/relationships/queryTable" Target="../queryTables/queryTable266.xml"/><Relationship Id="rId24" Type="http://schemas.openxmlformats.org/officeDocument/2006/relationships/queryTable" Target="../queryTables/queryTable19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31" Type="http://schemas.openxmlformats.org/officeDocument/2006/relationships/queryTable" Target="../queryTables/queryTable126.xml"/><Relationship Id="rId152" Type="http://schemas.openxmlformats.org/officeDocument/2006/relationships/queryTable" Target="../queryTables/queryTable147.xml"/><Relationship Id="rId173" Type="http://schemas.openxmlformats.org/officeDocument/2006/relationships/queryTable" Target="../queryTables/queryTable168.xml"/><Relationship Id="rId194" Type="http://schemas.openxmlformats.org/officeDocument/2006/relationships/queryTable" Target="../queryTables/queryTable189.xml"/><Relationship Id="rId208" Type="http://schemas.openxmlformats.org/officeDocument/2006/relationships/queryTable" Target="../queryTables/queryTable203.xml"/><Relationship Id="rId229" Type="http://schemas.openxmlformats.org/officeDocument/2006/relationships/queryTable" Target="../queryTables/queryTable224.xml"/><Relationship Id="rId240" Type="http://schemas.openxmlformats.org/officeDocument/2006/relationships/queryTable" Target="../queryTables/queryTable235.xml"/><Relationship Id="rId261" Type="http://schemas.openxmlformats.org/officeDocument/2006/relationships/queryTable" Target="../queryTables/queryTable256.xml"/><Relationship Id="rId14" Type="http://schemas.openxmlformats.org/officeDocument/2006/relationships/queryTable" Target="../queryTables/queryTable9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8" Type="http://schemas.openxmlformats.org/officeDocument/2006/relationships/queryTable" Target="../queryTables/queryTable3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142" Type="http://schemas.openxmlformats.org/officeDocument/2006/relationships/queryTable" Target="../queryTables/queryTable137.xml"/><Relationship Id="rId163" Type="http://schemas.openxmlformats.org/officeDocument/2006/relationships/queryTable" Target="../queryTables/queryTable158.xml"/><Relationship Id="rId184" Type="http://schemas.openxmlformats.org/officeDocument/2006/relationships/queryTable" Target="../queryTables/queryTable179.xml"/><Relationship Id="rId219" Type="http://schemas.openxmlformats.org/officeDocument/2006/relationships/queryTable" Target="../queryTables/queryTable214.xml"/><Relationship Id="rId230" Type="http://schemas.openxmlformats.org/officeDocument/2006/relationships/queryTable" Target="../queryTables/queryTable225.xml"/><Relationship Id="rId251" Type="http://schemas.openxmlformats.org/officeDocument/2006/relationships/queryTable" Target="../queryTables/queryTable246.x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88" Type="http://schemas.openxmlformats.org/officeDocument/2006/relationships/queryTable" Target="../queryTables/queryTable83.xml"/><Relationship Id="rId111" Type="http://schemas.openxmlformats.org/officeDocument/2006/relationships/queryTable" Target="../queryTables/queryTable106.xml"/><Relationship Id="rId132" Type="http://schemas.openxmlformats.org/officeDocument/2006/relationships/queryTable" Target="../queryTables/queryTable127.xml"/><Relationship Id="rId153" Type="http://schemas.openxmlformats.org/officeDocument/2006/relationships/queryTable" Target="../queryTables/queryTable148.xml"/><Relationship Id="rId174" Type="http://schemas.openxmlformats.org/officeDocument/2006/relationships/queryTable" Target="../queryTables/queryTable169.xml"/><Relationship Id="rId195" Type="http://schemas.openxmlformats.org/officeDocument/2006/relationships/queryTable" Target="../queryTables/queryTable190.xml"/><Relationship Id="rId209" Type="http://schemas.openxmlformats.org/officeDocument/2006/relationships/queryTable" Target="../queryTables/queryTable204.xml"/><Relationship Id="rId220" Type="http://schemas.openxmlformats.org/officeDocument/2006/relationships/queryTable" Target="../queryTables/queryTable215.xml"/><Relationship Id="rId241" Type="http://schemas.openxmlformats.org/officeDocument/2006/relationships/queryTable" Target="../queryTables/queryTable236.xml"/><Relationship Id="rId15" Type="http://schemas.openxmlformats.org/officeDocument/2006/relationships/queryTable" Target="../queryTables/queryTable10.xml"/><Relationship Id="rId36" Type="http://schemas.openxmlformats.org/officeDocument/2006/relationships/queryTable" Target="../queryTables/queryTable31.xml"/><Relationship Id="rId57" Type="http://schemas.openxmlformats.org/officeDocument/2006/relationships/queryTable" Target="../queryTables/queryTable52.xml"/><Relationship Id="rId262" Type="http://schemas.openxmlformats.org/officeDocument/2006/relationships/queryTable" Target="../queryTables/queryTable257.xml"/><Relationship Id="rId78" Type="http://schemas.openxmlformats.org/officeDocument/2006/relationships/queryTable" Target="../queryTables/queryTable73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43" Type="http://schemas.openxmlformats.org/officeDocument/2006/relationships/queryTable" Target="../queryTables/queryTable138.xml"/><Relationship Id="rId164" Type="http://schemas.openxmlformats.org/officeDocument/2006/relationships/queryTable" Target="../queryTables/queryTable159.xml"/><Relationship Id="rId185" Type="http://schemas.openxmlformats.org/officeDocument/2006/relationships/queryTable" Target="../queryTables/queryTable180.xml"/><Relationship Id="rId9" Type="http://schemas.openxmlformats.org/officeDocument/2006/relationships/queryTable" Target="../queryTables/queryTable4.xml"/><Relationship Id="rId210" Type="http://schemas.openxmlformats.org/officeDocument/2006/relationships/queryTable" Target="../queryTables/queryTable205.xml"/><Relationship Id="rId26" Type="http://schemas.openxmlformats.org/officeDocument/2006/relationships/queryTable" Target="../queryTables/queryTable21.xml"/><Relationship Id="rId231" Type="http://schemas.openxmlformats.org/officeDocument/2006/relationships/queryTable" Target="../queryTables/queryTable226.xml"/><Relationship Id="rId252" Type="http://schemas.openxmlformats.org/officeDocument/2006/relationships/queryTable" Target="../queryTables/queryTable247.xml"/><Relationship Id="rId47" Type="http://schemas.openxmlformats.org/officeDocument/2006/relationships/queryTable" Target="../queryTables/queryTable42.xml"/><Relationship Id="rId68" Type="http://schemas.openxmlformats.org/officeDocument/2006/relationships/queryTable" Target="../queryTables/queryTable63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33" Type="http://schemas.openxmlformats.org/officeDocument/2006/relationships/queryTable" Target="../queryTables/queryTable128.xml"/><Relationship Id="rId154" Type="http://schemas.openxmlformats.org/officeDocument/2006/relationships/queryTable" Target="../queryTables/queryTable149.xml"/><Relationship Id="rId175" Type="http://schemas.openxmlformats.org/officeDocument/2006/relationships/queryTable" Target="../queryTables/queryTable170.xml"/><Relationship Id="rId196" Type="http://schemas.openxmlformats.org/officeDocument/2006/relationships/queryTable" Target="../queryTables/queryTable191.xml"/><Relationship Id="rId200" Type="http://schemas.openxmlformats.org/officeDocument/2006/relationships/queryTable" Target="../queryTables/queryTable195.xml"/><Relationship Id="rId16" Type="http://schemas.openxmlformats.org/officeDocument/2006/relationships/queryTable" Target="../queryTables/queryTable11.xml"/><Relationship Id="rId221" Type="http://schemas.openxmlformats.org/officeDocument/2006/relationships/queryTable" Target="../queryTables/queryTable216.xml"/><Relationship Id="rId242" Type="http://schemas.openxmlformats.org/officeDocument/2006/relationships/queryTable" Target="../queryTables/queryTable237.xml"/><Relationship Id="rId263" Type="http://schemas.openxmlformats.org/officeDocument/2006/relationships/queryTable" Target="../queryTables/queryTable258.xml"/><Relationship Id="rId37" Type="http://schemas.openxmlformats.org/officeDocument/2006/relationships/queryTable" Target="../queryTables/queryTable32.xml"/><Relationship Id="rId58" Type="http://schemas.openxmlformats.org/officeDocument/2006/relationships/queryTable" Target="../queryTables/queryTable53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44" Type="http://schemas.openxmlformats.org/officeDocument/2006/relationships/queryTable" Target="../queryTables/queryTable139.xml"/><Relationship Id="rId90" Type="http://schemas.openxmlformats.org/officeDocument/2006/relationships/queryTable" Target="../queryTables/queryTable85.xml"/><Relationship Id="rId165" Type="http://schemas.openxmlformats.org/officeDocument/2006/relationships/queryTable" Target="../queryTables/queryTable160.xml"/><Relationship Id="rId186" Type="http://schemas.openxmlformats.org/officeDocument/2006/relationships/queryTable" Target="../queryTables/queryTable181.xml"/><Relationship Id="rId211" Type="http://schemas.openxmlformats.org/officeDocument/2006/relationships/queryTable" Target="../queryTables/queryTable206.xml"/><Relationship Id="rId232" Type="http://schemas.openxmlformats.org/officeDocument/2006/relationships/queryTable" Target="../queryTables/queryTable227.xml"/><Relationship Id="rId253" Type="http://schemas.openxmlformats.org/officeDocument/2006/relationships/queryTable" Target="../queryTables/queryTable248.xml"/><Relationship Id="rId27" Type="http://schemas.openxmlformats.org/officeDocument/2006/relationships/queryTable" Target="../queryTables/queryTable22.xml"/><Relationship Id="rId48" Type="http://schemas.openxmlformats.org/officeDocument/2006/relationships/queryTable" Target="../queryTables/queryTable43.xml"/><Relationship Id="rId69" Type="http://schemas.openxmlformats.org/officeDocument/2006/relationships/queryTable" Target="../queryTables/queryTable64.xml"/><Relationship Id="rId113" Type="http://schemas.openxmlformats.org/officeDocument/2006/relationships/queryTable" Target="../queryTables/queryTable108.xml"/><Relationship Id="rId134" Type="http://schemas.openxmlformats.org/officeDocument/2006/relationships/queryTable" Target="../queryTables/queryTable129.xml"/><Relationship Id="rId80" Type="http://schemas.openxmlformats.org/officeDocument/2006/relationships/queryTable" Target="../queryTables/queryTable75.xml"/><Relationship Id="rId155" Type="http://schemas.openxmlformats.org/officeDocument/2006/relationships/queryTable" Target="../queryTables/queryTable150.xml"/><Relationship Id="rId176" Type="http://schemas.openxmlformats.org/officeDocument/2006/relationships/queryTable" Target="../queryTables/queryTable171.xml"/><Relationship Id="rId197" Type="http://schemas.openxmlformats.org/officeDocument/2006/relationships/queryTable" Target="../queryTables/queryTable192.xml"/><Relationship Id="rId201" Type="http://schemas.openxmlformats.org/officeDocument/2006/relationships/queryTable" Target="../queryTables/queryTable196.xml"/><Relationship Id="rId222" Type="http://schemas.openxmlformats.org/officeDocument/2006/relationships/queryTable" Target="../queryTables/queryTable217.xml"/><Relationship Id="rId243" Type="http://schemas.openxmlformats.org/officeDocument/2006/relationships/queryTable" Target="../queryTables/queryTable238.xml"/><Relationship Id="rId264" Type="http://schemas.openxmlformats.org/officeDocument/2006/relationships/queryTable" Target="../queryTables/queryTable259.xml"/><Relationship Id="rId17" Type="http://schemas.openxmlformats.org/officeDocument/2006/relationships/queryTable" Target="../queryTables/queryTable12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24" Type="http://schemas.openxmlformats.org/officeDocument/2006/relationships/queryTable" Target="../queryTables/queryTable119.xml"/><Relationship Id="rId70" Type="http://schemas.openxmlformats.org/officeDocument/2006/relationships/queryTable" Target="../queryTables/queryTable65.xml"/><Relationship Id="rId91" Type="http://schemas.openxmlformats.org/officeDocument/2006/relationships/queryTable" Target="../queryTables/queryTable86.xml"/><Relationship Id="rId145" Type="http://schemas.openxmlformats.org/officeDocument/2006/relationships/queryTable" Target="../queryTables/queryTable140.xml"/><Relationship Id="rId166" Type="http://schemas.openxmlformats.org/officeDocument/2006/relationships/queryTable" Target="../queryTables/queryTable161.xml"/><Relationship Id="rId187" Type="http://schemas.openxmlformats.org/officeDocument/2006/relationships/queryTable" Target="../queryTables/queryTable182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07.xml"/><Relationship Id="rId233" Type="http://schemas.openxmlformats.org/officeDocument/2006/relationships/queryTable" Target="../queryTables/queryTable228.xml"/><Relationship Id="rId254" Type="http://schemas.openxmlformats.org/officeDocument/2006/relationships/queryTable" Target="../queryTables/queryTable249.xml"/><Relationship Id="rId28" Type="http://schemas.openxmlformats.org/officeDocument/2006/relationships/queryTable" Target="../queryTables/queryTable23.xml"/><Relationship Id="rId49" Type="http://schemas.openxmlformats.org/officeDocument/2006/relationships/queryTable" Target="../queryTables/queryTable44.xml"/><Relationship Id="rId114" Type="http://schemas.openxmlformats.org/officeDocument/2006/relationships/queryTable" Target="../queryTables/queryTable109.xml"/><Relationship Id="rId60" Type="http://schemas.openxmlformats.org/officeDocument/2006/relationships/queryTable" Target="../queryTables/queryTable55.xml"/><Relationship Id="rId81" Type="http://schemas.openxmlformats.org/officeDocument/2006/relationships/queryTable" Target="../queryTables/queryTable76.xml"/><Relationship Id="rId135" Type="http://schemas.openxmlformats.org/officeDocument/2006/relationships/queryTable" Target="../queryTables/queryTable130.xml"/><Relationship Id="rId156" Type="http://schemas.openxmlformats.org/officeDocument/2006/relationships/queryTable" Target="../queryTables/queryTable151.xml"/><Relationship Id="rId177" Type="http://schemas.openxmlformats.org/officeDocument/2006/relationships/queryTable" Target="../queryTables/queryTable172.xml"/><Relationship Id="rId198" Type="http://schemas.openxmlformats.org/officeDocument/2006/relationships/queryTable" Target="../queryTables/queryTable193.xml"/><Relationship Id="rId202" Type="http://schemas.openxmlformats.org/officeDocument/2006/relationships/queryTable" Target="../queryTables/queryTable197.xml"/><Relationship Id="rId223" Type="http://schemas.openxmlformats.org/officeDocument/2006/relationships/queryTable" Target="../queryTables/queryTable218.xml"/><Relationship Id="rId244" Type="http://schemas.openxmlformats.org/officeDocument/2006/relationships/queryTable" Target="../queryTables/queryTable239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265" Type="http://schemas.openxmlformats.org/officeDocument/2006/relationships/queryTable" Target="../queryTables/queryTable260.xml"/><Relationship Id="rId50" Type="http://schemas.openxmlformats.org/officeDocument/2006/relationships/queryTable" Target="../queryTables/queryTable45.xml"/><Relationship Id="rId104" Type="http://schemas.openxmlformats.org/officeDocument/2006/relationships/queryTable" Target="../queryTables/queryTable99.xml"/><Relationship Id="rId125" Type="http://schemas.openxmlformats.org/officeDocument/2006/relationships/queryTable" Target="../queryTables/queryTable120.xml"/><Relationship Id="rId146" Type="http://schemas.openxmlformats.org/officeDocument/2006/relationships/queryTable" Target="../queryTables/queryTable141.xml"/><Relationship Id="rId167" Type="http://schemas.openxmlformats.org/officeDocument/2006/relationships/queryTable" Target="../queryTables/queryTable162.xml"/><Relationship Id="rId188" Type="http://schemas.openxmlformats.org/officeDocument/2006/relationships/queryTable" Target="../queryTables/queryTable183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213" Type="http://schemas.openxmlformats.org/officeDocument/2006/relationships/queryTable" Target="../queryTables/queryTable208.xml"/><Relationship Id="rId234" Type="http://schemas.openxmlformats.org/officeDocument/2006/relationships/queryTable" Target="../queryTables/queryTable229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55" Type="http://schemas.openxmlformats.org/officeDocument/2006/relationships/queryTable" Target="../queryTables/queryTable250.xml"/><Relationship Id="rId40" Type="http://schemas.openxmlformats.org/officeDocument/2006/relationships/queryTable" Target="../queryTables/queryTable35.xml"/><Relationship Id="rId115" Type="http://schemas.openxmlformats.org/officeDocument/2006/relationships/queryTable" Target="../queryTables/queryTable110.xml"/><Relationship Id="rId136" Type="http://schemas.openxmlformats.org/officeDocument/2006/relationships/queryTable" Target="../queryTables/queryTable131.xml"/><Relationship Id="rId157" Type="http://schemas.openxmlformats.org/officeDocument/2006/relationships/queryTable" Target="../queryTables/queryTable152.xml"/><Relationship Id="rId178" Type="http://schemas.openxmlformats.org/officeDocument/2006/relationships/queryTable" Target="../queryTables/queryTable173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99" Type="http://schemas.openxmlformats.org/officeDocument/2006/relationships/queryTable" Target="../queryTables/queryTable194.xml"/><Relationship Id="rId203" Type="http://schemas.openxmlformats.org/officeDocument/2006/relationships/queryTable" Target="../queryTables/queryTable198.xml"/><Relationship Id="rId19" Type="http://schemas.openxmlformats.org/officeDocument/2006/relationships/queryTable" Target="../queryTables/queryTable14.xml"/><Relationship Id="rId224" Type="http://schemas.openxmlformats.org/officeDocument/2006/relationships/queryTable" Target="../queryTables/queryTable219.xml"/><Relationship Id="rId245" Type="http://schemas.openxmlformats.org/officeDocument/2006/relationships/queryTable" Target="../queryTables/queryTable240.xml"/><Relationship Id="rId266" Type="http://schemas.openxmlformats.org/officeDocument/2006/relationships/queryTable" Target="../queryTables/queryTable261.xml"/><Relationship Id="rId30" Type="http://schemas.openxmlformats.org/officeDocument/2006/relationships/queryTable" Target="../queryTables/queryTable25.xml"/><Relationship Id="rId105" Type="http://schemas.openxmlformats.org/officeDocument/2006/relationships/queryTable" Target="../queryTables/queryTable100.xml"/><Relationship Id="rId126" Type="http://schemas.openxmlformats.org/officeDocument/2006/relationships/queryTable" Target="../queryTables/queryTable121.xml"/><Relationship Id="rId147" Type="http://schemas.openxmlformats.org/officeDocument/2006/relationships/queryTable" Target="../queryTables/queryTable142.xml"/><Relationship Id="rId168" Type="http://schemas.openxmlformats.org/officeDocument/2006/relationships/queryTable" Target="../queryTables/queryTable16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189" Type="http://schemas.openxmlformats.org/officeDocument/2006/relationships/queryTable" Target="../queryTables/queryTable18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209.xml"/><Relationship Id="rId235" Type="http://schemas.openxmlformats.org/officeDocument/2006/relationships/queryTable" Target="../queryTables/queryTable230.xml"/><Relationship Id="rId256" Type="http://schemas.openxmlformats.org/officeDocument/2006/relationships/queryTable" Target="../queryTables/queryTable251.xml"/><Relationship Id="rId116" Type="http://schemas.openxmlformats.org/officeDocument/2006/relationships/queryTable" Target="../queryTables/queryTable111.xml"/><Relationship Id="rId137" Type="http://schemas.openxmlformats.org/officeDocument/2006/relationships/queryTable" Target="../queryTables/queryTable132.xml"/><Relationship Id="rId158" Type="http://schemas.openxmlformats.org/officeDocument/2006/relationships/queryTable" Target="../queryTables/queryTable153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62" Type="http://schemas.openxmlformats.org/officeDocument/2006/relationships/queryTable" Target="../queryTables/queryTable57.xml"/><Relationship Id="rId83" Type="http://schemas.openxmlformats.org/officeDocument/2006/relationships/queryTable" Target="../queryTables/queryTable78.xml"/><Relationship Id="rId179" Type="http://schemas.openxmlformats.org/officeDocument/2006/relationships/queryTable" Target="../queryTables/queryTable174.xml"/><Relationship Id="rId190" Type="http://schemas.openxmlformats.org/officeDocument/2006/relationships/queryTable" Target="../queryTables/queryTable185.xml"/><Relationship Id="rId204" Type="http://schemas.openxmlformats.org/officeDocument/2006/relationships/queryTable" Target="../queryTables/queryTable199.xml"/><Relationship Id="rId225" Type="http://schemas.openxmlformats.org/officeDocument/2006/relationships/queryTable" Target="../queryTables/queryTable220.xml"/><Relationship Id="rId246" Type="http://schemas.openxmlformats.org/officeDocument/2006/relationships/queryTable" Target="../queryTables/queryTable241.xml"/><Relationship Id="rId267" Type="http://schemas.openxmlformats.org/officeDocument/2006/relationships/queryTable" Target="../queryTables/queryTable262.xml"/><Relationship Id="rId106" Type="http://schemas.openxmlformats.org/officeDocument/2006/relationships/queryTable" Target="../queryTables/queryTable101.xml"/><Relationship Id="rId127" Type="http://schemas.openxmlformats.org/officeDocument/2006/relationships/queryTable" Target="../queryTables/queryTable122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52" Type="http://schemas.openxmlformats.org/officeDocument/2006/relationships/queryTable" Target="../queryTables/queryTable47.xml"/><Relationship Id="rId73" Type="http://schemas.openxmlformats.org/officeDocument/2006/relationships/queryTable" Target="../queryTables/queryTable68.xml"/><Relationship Id="rId94" Type="http://schemas.openxmlformats.org/officeDocument/2006/relationships/queryTable" Target="../queryTables/queryTable89.xml"/><Relationship Id="rId148" Type="http://schemas.openxmlformats.org/officeDocument/2006/relationships/queryTable" Target="../queryTables/queryTable143.xml"/><Relationship Id="rId169" Type="http://schemas.openxmlformats.org/officeDocument/2006/relationships/queryTable" Target="../queryTables/queryTable164.xml"/><Relationship Id="rId4" Type="http://schemas.openxmlformats.org/officeDocument/2006/relationships/control" Target="../activeX/activeX1.xml"/><Relationship Id="rId180" Type="http://schemas.openxmlformats.org/officeDocument/2006/relationships/queryTable" Target="../queryTables/queryTable175.xml"/><Relationship Id="rId215" Type="http://schemas.openxmlformats.org/officeDocument/2006/relationships/queryTable" Target="../queryTables/queryTable210.xml"/><Relationship Id="rId236" Type="http://schemas.openxmlformats.org/officeDocument/2006/relationships/queryTable" Target="../queryTables/queryTable231.xml"/><Relationship Id="rId257" Type="http://schemas.openxmlformats.org/officeDocument/2006/relationships/queryTable" Target="../queryTables/queryTable252.xml"/><Relationship Id="rId42" Type="http://schemas.openxmlformats.org/officeDocument/2006/relationships/queryTable" Target="../queryTables/queryTable37.xml"/><Relationship Id="rId84" Type="http://schemas.openxmlformats.org/officeDocument/2006/relationships/queryTable" Target="../queryTables/queryTable79.xml"/><Relationship Id="rId138" Type="http://schemas.openxmlformats.org/officeDocument/2006/relationships/queryTable" Target="../queryTables/queryTable133.xml"/><Relationship Id="rId191" Type="http://schemas.openxmlformats.org/officeDocument/2006/relationships/queryTable" Target="../queryTables/queryTable186.xml"/><Relationship Id="rId205" Type="http://schemas.openxmlformats.org/officeDocument/2006/relationships/queryTable" Target="../queryTables/queryTable200.xml"/><Relationship Id="rId247" Type="http://schemas.openxmlformats.org/officeDocument/2006/relationships/queryTable" Target="../queryTables/queryTable242.xml"/><Relationship Id="rId107" Type="http://schemas.openxmlformats.org/officeDocument/2006/relationships/queryTable" Target="../queryTables/queryTable10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D19"/>
  <sheetViews>
    <sheetView workbookViewId="0">
      <selection activeCell="M33" sqref="M33"/>
    </sheetView>
  </sheetViews>
  <sheetFormatPr defaultRowHeight="15" x14ac:dyDescent="0.25"/>
  <cols>
    <col min="2" max="2" width="11.28515625" customWidth="1"/>
  </cols>
  <sheetData>
    <row r="2" spans="1:4" ht="15.75" thickBot="1" x14ac:dyDescent="0.3">
      <c r="A2" s="36" t="s">
        <v>17</v>
      </c>
      <c r="B2" s="36"/>
    </row>
    <row r="3" spans="1:4" ht="15.75" thickBot="1" x14ac:dyDescent="0.3">
      <c r="A3" t="s">
        <v>0</v>
      </c>
      <c r="B3" s="1">
        <v>101325</v>
      </c>
    </row>
    <row r="4" spans="1:4" x14ac:dyDescent="0.25">
      <c r="A4" t="s">
        <v>1</v>
      </c>
      <c r="B4" s="2">
        <f>($B$9/$B$10)*((POWER(B3/$B$14,(-$B$11*$B$10)/($B$12*$B$13)))-1)</f>
        <v>0</v>
      </c>
    </row>
    <row r="5" spans="1:4" ht="15.75" thickBot="1" x14ac:dyDescent="0.3"/>
    <row r="6" spans="1:4" ht="15.75" thickBot="1" x14ac:dyDescent="0.3">
      <c r="A6" t="s">
        <v>2</v>
      </c>
      <c r="B6" s="1">
        <v>0</v>
      </c>
    </row>
    <row r="7" spans="1:4" x14ac:dyDescent="0.25">
      <c r="A7" t="s">
        <v>3</v>
      </c>
      <c r="B7" s="3">
        <f>B14*EXP(-B12*B13*B6/(B11*B9))</f>
        <v>101325</v>
      </c>
    </row>
    <row r="9" spans="1:4" x14ac:dyDescent="0.25">
      <c r="A9" t="s">
        <v>4</v>
      </c>
      <c r="B9">
        <f>273.15+C9</f>
        <v>288.14999999999998</v>
      </c>
      <c r="C9">
        <v>15</v>
      </c>
      <c r="D9" t="s">
        <v>22</v>
      </c>
    </row>
    <row r="10" spans="1:4" x14ac:dyDescent="0.25">
      <c r="A10" t="s">
        <v>6</v>
      </c>
      <c r="B10">
        <v>-6.4999999999999997E-3</v>
      </c>
    </row>
    <row r="11" spans="1:4" x14ac:dyDescent="0.25">
      <c r="A11" t="s">
        <v>8</v>
      </c>
      <c r="B11">
        <v>8.3143200000000004</v>
      </c>
    </row>
    <row r="12" spans="1:4" x14ac:dyDescent="0.25">
      <c r="A12" t="s">
        <v>10</v>
      </c>
      <c r="B12">
        <v>9.8066499999999994</v>
      </c>
    </row>
    <row r="13" spans="1:4" x14ac:dyDescent="0.25">
      <c r="A13" t="s">
        <v>12</v>
      </c>
      <c r="B13">
        <v>2.8964400000000001E-2</v>
      </c>
    </row>
    <row r="14" spans="1:4" x14ac:dyDescent="0.25">
      <c r="A14" t="s">
        <v>13</v>
      </c>
      <c r="B14">
        <v>101325</v>
      </c>
    </row>
    <row r="16" spans="1:4" x14ac:dyDescent="0.25">
      <c r="A16" t="s">
        <v>5</v>
      </c>
      <c r="B16">
        <v>44307</v>
      </c>
    </row>
    <row r="17" spans="1:2" x14ac:dyDescent="0.25">
      <c r="A17" t="s">
        <v>7</v>
      </c>
      <c r="B17">
        <v>0.21190000000000001</v>
      </c>
    </row>
    <row r="18" spans="1:2" x14ac:dyDescent="0.25">
      <c r="A18" t="s">
        <v>9</v>
      </c>
      <c r="B18">
        <v>44330</v>
      </c>
    </row>
    <row r="19" spans="1:2" x14ac:dyDescent="0.25">
      <c r="A19" t="s">
        <v>11</v>
      </c>
      <c r="B19">
        <v>0.1903</v>
      </c>
    </row>
  </sheetData>
  <mergeCells count="1">
    <mergeCell ref="A2:B2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BH248"/>
  <sheetViews>
    <sheetView tabSelected="1" zoomScaleNormal="100" workbookViewId="0">
      <selection activeCell="AD27" sqref="AD27"/>
    </sheetView>
  </sheetViews>
  <sheetFormatPr defaultRowHeight="15" x14ac:dyDescent="0.25"/>
  <cols>
    <col min="1" max="1" width="9.7109375" customWidth="1"/>
    <col min="2" max="2" width="1.5703125" customWidth="1"/>
    <col min="3" max="6" width="11.7109375" customWidth="1"/>
    <col min="7" max="7" width="1.5703125" customWidth="1"/>
    <col min="8" max="8" width="7.140625" customWidth="1"/>
    <col min="21" max="21" width="1.5703125" customWidth="1"/>
  </cols>
  <sheetData>
    <row r="1" spans="1:56" ht="15.75" thickBot="1" x14ac:dyDescent="0.3">
      <c r="A1" s="39" t="s">
        <v>16</v>
      </c>
      <c r="B1" s="40"/>
      <c r="C1" s="13"/>
      <c r="D1" s="20" t="s">
        <v>14</v>
      </c>
      <c r="E1" s="28"/>
      <c r="F1" s="11"/>
      <c r="G1" s="11"/>
    </row>
    <row r="2" spans="1:56" ht="16.5" thickTop="1" thickBot="1" x14ac:dyDescent="0.3">
      <c r="A2" s="41"/>
      <c r="B2" s="42"/>
      <c r="C2" s="42"/>
      <c r="D2" s="15"/>
      <c r="E2" s="18" t="s">
        <v>25</v>
      </c>
      <c r="F2" s="24"/>
    </row>
    <row r="3" spans="1:56" x14ac:dyDescent="0.25">
      <c r="A3" s="43" t="s">
        <v>27</v>
      </c>
      <c r="B3" s="44"/>
      <c r="C3" s="44"/>
      <c r="D3" s="4">
        <v>102367.5</v>
      </c>
      <c r="E3" s="17">
        <f>IF(D3&lt;&gt;0,('Modelo Atmosférico'!$B$9/'Modelo Atmosférico'!$B$10)*((POWER(D3/'Modelo Atmosférico'!$B$14,(-'Modelo Atmosférico'!$B$11*'Modelo Atmosférico'!$B$10)/('Modelo Atmosférico'!$B$12*'Modelo Atmosférico'!$B$13)))-1),0)</f>
        <v>-86.420730902545429</v>
      </c>
      <c r="F3" s="25" t="s">
        <v>29</v>
      </c>
    </row>
    <row r="4" spans="1:56" x14ac:dyDescent="0.25">
      <c r="A4" s="43" t="s">
        <v>28</v>
      </c>
      <c r="B4" s="44"/>
      <c r="C4" s="44"/>
      <c r="D4" s="4">
        <v>92377.63</v>
      </c>
      <c r="E4" s="17">
        <f>IF(D4&lt;&gt;0,('Modelo Atmosférico'!$B$9/'Modelo Atmosférico'!$B$10)*((POWER(D4/'Modelo Atmosférico'!$B$14,(-'Modelo Atmosférico'!$B$11*'Modelo Atmosférico'!$B$10)/('Modelo Atmosférico'!$B$12*'Modelo Atmosférico'!$B$13)))-1),0)</f>
        <v>772.93908235508491</v>
      </c>
      <c r="F4" s="26">
        <f>E4-E3</f>
        <v>859.35981325763032</v>
      </c>
    </row>
    <row r="5" spans="1:56" ht="15.75" thickBot="1" x14ac:dyDescent="0.3">
      <c r="A5" s="37"/>
      <c r="B5" s="38"/>
      <c r="C5" s="38"/>
      <c r="D5" s="16"/>
      <c r="E5" s="19"/>
      <c r="F5" s="27"/>
    </row>
    <row r="6" spans="1:56" ht="30" customHeight="1" thickTop="1" x14ac:dyDescent="0.25">
      <c r="C6" s="21" t="s">
        <v>15</v>
      </c>
      <c r="D6" s="14"/>
      <c r="E6" s="14"/>
      <c r="F6" s="12"/>
      <c r="G6" s="11"/>
    </row>
    <row r="7" spans="1:56" ht="30" customHeight="1" x14ac:dyDescent="0.25">
      <c r="A7" s="52" t="s">
        <v>24</v>
      </c>
      <c r="B7" s="53"/>
      <c r="C7" s="52" t="s">
        <v>23</v>
      </c>
      <c r="D7" s="52" t="s">
        <v>18</v>
      </c>
      <c r="E7" s="52" t="s">
        <v>30</v>
      </c>
      <c r="F7" s="52" t="s">
        <v>26</v>
      </c>
      <c r="G7" s="11"/>
    </row>
    <row r="8" spans="1:56" x14ac:dyDescent="0.25">
      <c r="A8" s="49">
        <v>0</v>
      </c>
      <c r="B8" s="5"/>
      <c r="C8" s="47">
        <v>23544</v>
      </c>
      <c r="D8" s="45">
        <v>102367.5</v>
      </c>
      <c r="E8" s="6">
        <f>IF(D8&lt;&gt;0,('Modelo Atmosférico'!$B$9/'Modelo Atmosférico'!$B$10)*((POWER(D8/'Modelo Atmosférico'!$B$14,(-'Modelo Atmosférico'!$B$11*'Modelo Atmosférico'!$B$10)/('Modelo Atmosférico'!$B$12*'Modelo Atmosférico'!$B$13)))-1),0)</f>
        <v>-86.420730902545429</v>
      </c>
      <c r="F8" s="7">
        <f t="shared" ref="F8:F33" si="0">IF(D8&lt;&gt;0,E8-$E$3,0)</f>
        <v>0</v>
      </c>
    </row>
    <row r="9" spans="1:56" x14ac:dyDescent="0.25">
      <c r="A9" s="50">
        <v>0.192</v>
      </c>
      <c r="B9" s="5"/>
      <c r="C9" s="35">
        <v>23543</v>
      </c>
      <c r="D9" s="3">
        <v>102370.26</v>
      </c>
      <c r="E9" s="2">
        <f>IF(D9&lt;&gt;0,('Modelo Atmosférico'!$B$9/'Modelo Atmosférico'!$B$10)*((POWER(D9/'Modelo Atmosférico'!$B$14,(-'Modelo Atmosférico'!$B$11*'Modelo Atmosférico'!$B$10)/('Modelo Atmosférico'!$B$12*'Modelo Atmosférico'!$B$13)))-1),0)</f>
        <v>-86.648580467624001</v>
      </c>
      <c r="F9" s="8">
        <f t="shared" si="0"/>
        <v>-0.22784956507857146</v>
      </c>
      <c r="L9" s="22"/>
      <c r="AU9" s="22"/>
      <c r="BD9" s="22"/>
    </row>
    <row r="10" spans="1:56" x14ac:dyDescent="0.25">
      <c r="A10" s="50">
        <v>0.38400000000000001</v>
      </c>
      <c r="B10" s="5"/>
      <c r="C10" s="35">
        <v>23542</v>
      </c>
      <c r="D10" s="3">
        <v>102373.02</v>
      </c>
      <c r="E10" s="2">
        <f>IF(D10&lt;&gt;0,('Modelo Atmosférico'!$B$9/'Modelo Atmosférico'!$B$10)*((POWER(D10/'Modelo Atmosférico'!$B$14,(-'Modelo Atmosférico'!$B$11*'Modelo Atmosférico'!$B$10)/('Modelo Atmosférico'!$B$12*'Modelo Atmosférico'!$B$13)))-1),0)</f>
        <v>-86.876425058513448</v>
      </c>
      <c r="F10" s="8">
        <f t="shared" si="0"/>
        <v>-0.45569415596801832</v>
      </c>
      <c r="L10" s="22"/>
      <c r="AQ10" s="22"/>
      <c r="AZ10" s="22"/>
    </row>
    <row r="11" spans="1:56" x14ac:dyDescent="0.25">
      <c r="A11" s="50">
        <v>0.57599999999999996</v>
      </c>
      <c r="B11" s="5"/>
      <c r="C11" s="35">
        <v>23570</v>
      </c>
      <c r="D11" s="3">
        <v>102295.63</v>
      </c>
      <c r="E11" s="2">
        <f>IF(D11&lt;&gt;0,('Modelo Atmosférico'!$B$9/'Modelo Atmosférico'!$B$10)*((POWER(D11/'Modelo Atmosférico'!$B$14,(-'Modelo Atmosférico'!$B$11*'Modelo Atmosférico'!$B$10)/('Modelo Atmosférico'!$B$12*'Modelo Atmosférico'!$B$13)))-1),0)</f>
        <v>-80.485809251354084</v>
      </c>
      <c r="F11" s="8">
        <f t="shared" si="0"/>
        <v>5.9349216511913454</v>
      </c>
      <c r="L11" s="22"/>
      <c r="AA11" s="23"/>
      <c r="AG11" s="22"/>
      <c r="AP11" s="22"/>
      <c r="AY11" s="22"/>
    </row>
    <row r="12" spans="1:56" x14ac:dyDescent="0.25">
      <c r="A12" s="50">
        <v>0.76800000000000002</v>
      </c>
      <c r="B12" s="5"/>
      <c r="C12" s="35">
        <v>25150</v>
      </c>
      <c r="D12" s="3">
        <v>97931.28</v>
      </c>
      <c r="E12" s="2">
        <f>IF(D12&lt;&gt;0,('Modelo Atmosférico'!$B$9/'Modelo Atmosférico'!$B$10)*((POWER(D12/'Modelo Atmosférico'!$B$14,(-'Modelo Atmosférico'!$B$11*'Modelo Atmosférico'!$B$10)/('Modelo Atmosférico'!$B$12*'Modelo Atmosférico'!$B$13)))-1),0)</f>
        <v>286.41080848274527</v>
      </c>
      <c r="F12" s="8">
        <f t="shared" si="0"/>
        <v>372.83153938529068</v>
      </c>
      <c r="I12" s="22"/>
      <c r="L12" s="22"/>
      <c r="Z12" s="23"/>
      <c r="AF12" s="22"/>
      <c r="AO12" s="22"/>
      <c r="AX12" s="22"/>
    </row>
    <row r="13" spans="1:56" x14ac:dyDescent="0.25">
      <c r="A13" s="50">
        <v>0.96</v>
      </c>
      <c r="B13" s="5"/>
      <c r="C13" s="35">
        <v>26221</v>
      </c>
      <c r="D13" s="3">
        <v>94976.639999999999</v>
      </c>
      <c r="E13" s="2">
        <f>IF(D13&lt;&gt;0,('Modelo Atmosférico'!$B$9/'Modelo Atmosférico'!$B$10)*((POWER(D13/'Modelo Atmosférico'!$B$14,(-'Modelo Atmosférico'!$B$11*'Modelo Atmosférico'!$B$10)/('Modelo Atmosférico'!$B$12*'Modelo Atmosférico'!$B$13)))-1),0)</f>
        <v>542.38640649224146</v>
      </c>
      <c r="F13" s="8">
        <f t="shared" si="0"/>
        <v>628.80713739478688</v>
      </c>
      <c r="I13" s="22"/>
      <c r="L13" s="22"/>
      <c r="Y13" s="23"/>
      <c r="AE13" s="22"/>
      <c r="AO13" s="22"/>
      <c r="AX13" s="22"/>
    </row>
    <row r="14" spans="1:56" x14ac:dyDescent="0.25">
      <c r="A14" s="50">
        <v>1.1519999999999999</v>
      </c>
      <c r="B14" s="5"/>
      <c r="C14" s="35">
        <v>26667</v>
      </c>
      <c r="D14" s="3">
        <v>93747.13</v>
      </c>
      <c r="E14" s="2">
        <f>IF(D14&lt;&gt;0,('Modelo Atmosférico'!$B$9/'Modelo Atmosférico'!$B$10)*((POWER(D14/'Modelo Atmosférico'!$B$14,(-'Modelo Atmosférico'!$B$11*'Modelo Atmosférico'!$B$10)/('Modelo Atmosférico'!$B$12*'Modelo Atmosférico'!$B$13)))-1),0)</f>
        <v>650.80834472040442</v>
      </c>
      <c r="F14" s="8">
        <f t="shared" si="0"/>
        <v>737.22907562294984</v>
      </c>
      <c r="I14" s="22"/>
      <c r="L14" s="22"/>
      <c r="Z14" s="23"/>
      <c r="AF14" s="22"/>
      <c r="AM14" s="22"/>
      <c r="AV14" s="22"/>
    </row>
    <row r="15" spans="1:56" x14ac:dyDescent="0.25">
      <c r="A15" s="50">
        <v>1.3440000000000001</v>
      </c>
      <c r="B15" s="5"/>
      <c r="C15" s="35">
        <v>26992</v>
      </c>
      <c r="D15" s="3">
        <v>92851.5</v>
      </c>
      <c r="E15" s="2">
        <f>IF(D15&lt;&gt;0,('Modelo Atmosférico'!$B$9/'Modelo Atmosférico'!$B$10)*((POWER(D15/'Modelo Atmosférico'!$B$14,(-'Modelo Atmosférico'!$B$11*'Modelo Atmosférico'!$B$10)/('Modelo Atmosférico'!$B$12*'Modelo Atmosférico'!$B$13)))-1),0)</f>
        <v>730.51490806266247</v>
      </c>
      <c r="F15" s="8">
        <f t="shared" si="0"/>
        <v>816.93563896520789</v>
      </c>
      <c r="I15" s="22"/>
      <c r="L15" s="22"/>
      <c r="Z15" s="23"/>
      <c r="AF15" s="22"/>
      <c r="AM15" s="22"/>
      <c r="AV15" s="22"/>
    </row>
    <row r="16" spans="1:56" x14ac:dyDescent="0.25">
      <c r="A16" s="50">
        <v>1.536</v>
      </c>
      <c r="B16" s="5"/>
      <c r="C16" s="35">
        <v>27164</v>
      </c>
      <c r="D16" s="3">
        <v>92377.63</v>
      </c>
      <c r="E16" s="2">
        <f>IF(D16&lt;&gt;0,('Modelo Atmosférico'!$B$9/'Modelo Atmosférico'!$B$10)*((POWER(D16/'Modelo Atmosférico'!$B$14,(-'Modelo Atmosférico'!$B$11*'Modelo Atmosférico'!$B$10)/('Modelo Atmosférico'!$B$12*'Modelo Atmosférico'!$B$13)))-1),0)</f>
        <v>772.93908235508491</v>
      </c>
      <c r="F16" s="8">
        <f t="shared" si="0"/>
        <v>859.35981325763032</v>
      </c>
      <c r="L16" s="22"/>
      <c r="AM16" s="22"/>
      <c r="AV16" s="22"/>
    </row>
    <row r="17" spans="1:56" x14ac:dyDescent="0.25">
      <c r="A17" s="50">
        <v>1.728</v>
      </c>
      <c r="B17" s="5"/>
      <c r="C17" s="35">
        <v>26968</v>
      </c>
      <c r="D17" s="3">
        <v>92917.63</v>
      </c>
      <c r="E17" s="2">
        <f>IF(D17&lt;&gt;0,('Modelo Atmosférico'!$B$9/'Modelo Atmosférico'!$B$10)*((POWER(D17/'Modelo Atmosférico'!$B$14,(-'Modelo Atmosférico'!$B$11*'Modelo Atmosférico'!$B$10)/('Modelo Atmosférico'!$B$12*'Modelo Atmosférico'!$B$13)))-1),0)</f>
        <v>724.60843391812159</v>
      </c>
      <c r="F17" s="8">
        <f t="shared" si="0"/>
        <v>811.02916482066701</v>
      </c>
      <c r="L17" s="22"/>
      <c r="AM17" s="22"/>
      <c r="AV17" s="22"/>
    </row>
    <row r="18" spans="1:56" x14ac:dyDescent="0.25">
      <c r="A18" s="50">
        <v>1.92</v>
      </c>
      <c r="B18" s="5"/>
      <c r="C18" s="35">
        <v>26909</v>
      </c>
      <c r="D18" s="3">
        <v>93080.2</v>
      </c>
      <c r="E18" s="2">
        <f>IF(D18&lt;&gt;0,('Modelo Atmosférico'!$B$9/'Modelo Atmosférico'!$B$10)*((POWER(D18/'Modelo Atmosférico'!$B$14,(-'Modelo Atmosférico'!$B$11*'Modelo Atmosférico'!$B$10)/('Modelo Atmosférico'!$B$12*'Modelo Atmosférico'!$B$13)))-1),0)</f>
        <v>710.10277067077345</v>
      </c>
      <c r="F18" s="8">
        <f t="shared" si="0"/>
        <v>796.52350157331887</v>
      </c>
      <c r="L18" s="22"/>
      <c r="AM18" s="22"/>
      <c r="AV18" s="22"/>
    </row>
    <row r="19" spans="1:56" x14ac:dyDescent="0.25">
      <c r="A19" s="50">
        <v>2.1120000000000001</v>
      </c>
      <c r="B19" s="5"/>
      <c r="C19" s="35">
        <v>26863</v>
      </c>
      <c r="D19" s="3">
        <v>93206.95</v>
      </c>
      <c r="E19" s="2">
        <f>IF(D19&lt;&gt;0,('Modelo Atmosférico'!$B$9/'Modelo Atmosférico'!$B$10)*((POWER(D19/'Modelo Atmosférico'!$B$14,(-'Modelo Atmosférico'!$B$11*'Modelo Atmosférico'!$B$10)/('Modelo Atmosférico'!$B$12*'Modelo Atmosférico'!$B$13)))-1),0)</f>
        <v>698.8074508576334</v>
      </c>
      <c r="F19" s="8">
        <f t="shared" si="0"/>
        <v>785.22818176017881</v>
      </c>
      <c r="I19" s="22"/>
      <c r="L19" s="22"/>
      <c r="AL19" s="22"/>
      <c r="AU19" s="22"/>
    </row>
    <row r="20" spans="1:56" x14ac:dyDescent="0.25">
      <c r="A20" s="50">
        <v>2.3039999999999998</v>
      </c>
      <c r="B20" s="5"/>
      <c r="C20" s="35">
        <v>26833</v>
      </c>
      <c r="D20" s="3">
        <v>93289.63</v>
      </c>
      <c r="E20" s="2">
        <f>IF(D20&lt;&gt;0,('Modelo Atmosférico'!$B$9/'Modelo Atmosférico'!$B$10)*((POWER(D20/'Modelo Atmosférico'!$B$14,(-'Modelo Atmosférico'!$B$11*'Modelo Atmosférico'!$B$10)/('Modelo Atmosférico'!$B$12*'Modelo Atmosférico'!$B$13)))-1),0)</f>
        <v>691.44612786799792</v>
      </c>
      <c r="F20" s="8">
        <f t="shared" si="0"/>
        <v>777.86685877054333</v>
      </c>
      <c r="I20" s="22"/>
      <c r="L20" s="22"/>
      <c r="AM20" s="22"/>
      <c r="AV20" s="22"/>
    </row>
    <row r="21" spans="1:56" x14ac:dyDescent="0.25">
      <c r="A21" s="50">
        <v>2.496</v>
      </c>
      <c r="B21" s="5"/>
      <c r="C21" s="35">
        <v>26455</v>
      </c>
      <c r="D21" s="3">
        <v>94331.48</v>
      </c>
      <c r="E21" s="2">
        <f>IF(D21&lt;&gt;0,('Modelo Atmosférico'!$B$9/'Modelo Atmosférico'!$B$10)*((POWER(D21/'Modelo Atmosférico'!$B$14,(-'Modelo Atmosférico'!$B$11*'Modelo Atmosférico'!$B$10)/('Modelo Atmosférico'!$B$12*'Modelo Atmosférico'!$B$13)))-1),0)</f>
        <v>599.13591183894209</v>
      </c>
      <c r="F21" s="8">
        <f t="shared" si="0"/>
        <v>685.55664274148751</v>
      </c>
      <c r="I21" s="22"/>
      <c r="L21" s="22"/>
      <c r="AK21" s="22"/>
      <c r="AT21" s="22"/>
    </row>
    <row r="22" spans="1:56" x14ac:dyDescent="0.25">
      <c r="A22" s="50">
        <v>2.6880000000000002</v>
      </c>
      <c r="B22" s="5"/>
      <c r="C22" s="35">
        <v>25910</v>
      </c>
      <c r="D22" s="3">
        <v>95834.3</v>
      </c>
      <c r="E22" s="2">
        <f>IF(D22&lt;&gt;0,('Modelo Atmosférico'!$B$9/'Modelo Atmosférico'!$B$10)*((POWER(D22/'Modelo Atmosférico'!$B$14,(-'Modelo Atmosférico'!$B$11*'Modelo Atmosférico'!$B$10)/('Modelo Atmosférico'!$B$12*'Modelo Atmosférico'!$B$13)))-1),0)</f>
        <v>467.42632417556769</v>
      </c>
      <c r="F22" s="8">
        <f t="shared" si="0"/>
        <v>553.84705507811316</v>
      </c>
      <c r="I22" s="22"/>
      <c r="L22" s="22"/>
      <c r="AI22" s="22"/>
      <c r="AR22" s="22"/>
    </row>
    <row r="23" spans="1:56" x14ac:dyDescent="0.25">
      <c r="A23" s="50">
        <v>2.88</v>
      </c>
      <c r="B23" s="5"/>
      <c r="C23" s="35">
        <v>24992</v>
      </c>
      <c r="D23" s="3">
        <v>98367.41</v>
      </c>
      <c r="E23" s="2">
        <f>IF(D23&lt;&gt;0,('Modelo Atmosférico'!$B$9/'Modelo Atmosférico'!$B$10)*((POWER(D23/'Modelo Atmosférico'!$B$14,(-'Modelo Atmosférico'!$B$11*'Modelo Atmosférico'!$B$10)/('Modelo Atmosférico'!$B$12*'Modelo Atmosférico'!$B$13)))-1),0)</f>
        <v>249.15808428421479</v>
      </c>
      <c r="F23" s="8">
        <f t="shared" si="0"/>
        <v>335.57881518676021</v>
      </c>
      <c r="I23" s="22"/>
      <c r="L23" s="22"/>
      <c r="AI23" s="22"/>
      <c r="AR23" s="22"/>
    </row>
    <row r="24" spans="1:56" x14ac:dyDescent="0.25">
      <c r="A24" s="50">
        <v>3.0720000000000001</v>
      </c>
      <c r="B24" s="5"/>
      <c r="C24" s="35">
        <v>23540</v>
      </c>
      <c r="D24" s="3">
        <v>102378.55</v>
      </c>
      <c r="E24" s="2">
        <f>IF(D24&lt;&gt;0,('Modelo Atmosférico'!$B$9/'Modelo Atmosférico'!$B$10)*((POWER(D24/'Modelo Atmosférico'!$B$14,(-'Modelo Atmosférico'!$B$11*'Modelo Atmosférico'!$B$10)/('Modelo Atmosférico'!$B$12*'Modelo Atmosférico'!$B$13)))-1),0)</f>
        <v>-87.332924797477901</v>
      </c>
      <c r="F24" s="8">
        <f t="shared" si="0"/>
        <v>-0.91219389493247149</v>
      </c>
      <c r="L24" s="22"/>
      <c r="V24" s="23"/>
      <c r="AB24" s="22"/>
      <c r="AH24" s="22"/>
      <c r="AQ24" s="22"/>
    </row>
    <row r="25" spans="1:56" x14ac:dyDescent="0.25">
      <c r="A25" s="50">
        <v>3.2639999999999998</v>
      </c>
      <c r="B25" s="5"/>
      <c r="C25" s="35">
        <v>23540</v>
      </c>
      <c r="D25" s="3">
        <v>102378.55</v>
      </c>
      <c r="E25" s="2">
        <f>IF(D25&lt;&gt;0,('Modelo Atmosférico'!$B$9/'Modelo Atmosférico'!$B$10)*((POWER(D25/'Modelo Atmosférico'!$B$14,(-'Modelo Atmosférico'!$B$11*'Modelo Atmosférico'!$B$10)/('Modelo Atmosférico'!$B$12*'Modelo Atmosférico'!$B$13)))-1),0)</f>
        <v>-87.332924797477901</v>
      </c>
      <c r="F25" s="8">
        <f t="shared" si="0"/>
        <v>-0.91219389493247149</v>
      </c>
      <c r="L25" s="22"/>
      <c r="V25" s="23"/>
      <c r="AB25" s="22"/>
      <c r="AH25" s="22"/>
      <c r="AQ25" s="22"/>
    </row>
    <row r="26" spans="1:56" x14ac:dyDescent="0.25">
      <c r="A26" s="50">
        <v>3.456</v>
      </c>
      <c r="B26" s="5"/>
      <c r="C26" s="35">
        <v>23539</v>
      </c>
      <c r="D26" s="3">
        <v>102381.31</v>
      </c>
      <c r="E26" s="2">
        <f>IF(D26&lt;&gt;0,('Modelo Atmosférico'!$B$9/'Modelo Atmosférico'!$B$10)*((POWER(D26/'Modelo Atmosférico'!$B$14,(-'Modelo Atmosférico'!$B$11*'Modelo Atmosférico'!$B$10)/('Modelo Atmosférico'!$B$12*'Modelo Atmosférico'!$B$13)))-1),0)</f>
        <v>-87.560754449233528</v>
      </c>
      <c r="F26" s="8">
        <f t="shared" si="0"/>
        <v>-1.1400235466880986</v>
      </c>
      <c r="L26" s="22"/>
      <c r="W26" s="23"/>
      <c r="AC26" s="22"/>
      <c r="AJ26" s="22"/>
      <c r="AS26" s="22"/>
    </row>
    <row r="27" spans="1:56" x14ac:dyDescent="0.25">
      <c r="A27" s="50">
        <v>3.6480000000000001</v>
      </c>
      <c r="B27" s="5"/>
      <c r="C27" s="35">
        <v>23541</v>
      </c>
      <c r="D27" s="3">
        <v>102375.79</v>
      </c>
      <c r="E27" s="2">
        <f>IF(D27&lt;&gt;0,('Modelo Atmosférico'!$B$9/'Modelo Atmosférico'!$B$10)*((POWER(D27/'Modelo Atmosférico'!$B$14,(-'Modelo Atmosférico'!$B$11*'Modelo Atmosférico'!$B$10)/('Modelo Atmosférico'!$B$12*'Modelo Atmosférico'!$B$13)))-1),0)</f>
        <v>-87.105090172271403</v>
      </c>
      <c r="F27" s="8">
        <f t="shared" si="0"/>
        <v>-0.68435926972597372</v>
      </c>
      <c r="L27" s="22"/>
      <c r="W27" s="23"/>
      <c r="AC27" s="22"/>
      <c r="AM27" s="22"/>
      <c r="AV27" s="22"/>
    </row>
    <row r="28" spans="1:56" x14ac:dyDescent="0.25">
      <c r="A28" s="50">
        <v>3.84</v>
      </c>
      <c r="B28" s="5"/>
      <c r="C28" s="35">
        <v>23538</v>
      </c>
      <c r="D28" s="3">
        <v>102384.08</v>
      </c>
      <c r="E28" s="2">
        <f>IF(D28&lt;&gt;0,('Modelo Atmosférico'!$B$9/'Modelo Atmosférico'!$B$10)*((POWER(D28/'Modelo Atmosférico'!$B$14,(-'Modelo Atmosférico'!$B$11*'Modelo Atmosférico'!$B$10)/('Modelo Atmosférico'!$B$12*'Modelo Atmosférico'!$B$13)))-1),0)</f>
        <v>-87.789404570447331</v>
      </c>
      <c r="F28" s="8">
        <f t="shared" si="0"/>
        <v>-1.368673667901902</v>
      </c>
      <c r="L28" s="22"/>
      <c r="X28" s="23"/>
      <c r="AD28" s="22"/>
      <c r="AM28" s="22"/>
      <c r="AV28" s="22"/>
    </row>
    <row r="29" spans="1:56" x14ac:dyDescent="0.25">
      <c r="A29" s="50">
        <v>4.032</v>
      </c>
      <c r="B29" s="5"/>
      <c r="C29" s="35">
        <v>23536</v>
      </c>
      <c r="D29" s="3">
        <v>102389.61</v>
      </c>
      <c r="E29" s="2">
        <f>IF(D29&lt;&gt;0,('Modelo Atmosférico'!$B$9/'Modelo Atmosférico'!$B$10)*((POWER(D29/'Modelo Atmosférico'!$B$14,(-'Modelo Atmosférico'!$B$11*'Modelo Atmosférico'!$B$10)/('Modelo Atmosférico'!$B$12*'Modelo Atmosférico'!$B$13)))-1),0)</f>
        <v>-88.245864379370744</v>
      </c>
      <c r="F29" s="8">
        <f t="shared" si="0"/>
        <v>-1.8251334768253145</v>
      </c>
      <c r="AQ29" s="22"/>
      <c r="AZ29" s="22"/>
    </row>
    <row r="30" spans="1:56" x14ac:dyDescent="0.25">
      <c r="A30" s="50">
        <v>4.2240000000000002</v>
      </c>
      <c r="B30" s="5"/>
      <c r="C30" s="35">
        <v>23539</v>
      </c>
      <c r="D30" s="3">
        <v>102381.31</v>
      </c>
      <c r="E30" s="2">
        <f>IF(D30&lt;&gt;0,('Modelo Atmosférico'!$B$9/'Modelo Atmosférico'!$B$10)*((POWER(D30/'Modelo Atmosférico'!$B$14,(-'Modelo Atmosférico'!$B$11*'Modelo Atmosférico'!$B$10)/('Modelo Atmosférico'!$B$12*'Modelo Atmosférico'!$B$13)))-1),0)</f>
        <v>-87.560754449233528</v>
      </c>
      <c r="F30" s="8">
        <f t="shared" si="0"/>
        <v>-1.1400235466880986</v>
      </c>
      <c r="AQ30" s="22"/>
      <c r="AZ30" s="22"/>
    </row>
    <row r="31" spans="1:56" x14ac:dyDescent="0.25">
      <c r="A31" s="50">
        <v>4.4160000000000004</v>
      </c>
      <c r="B31" s="5"/>
      <c r="C31" s="35">
        <v>23537</v>
      </c>
      <c r="D31" s="3">
        <v>102386.84</v>
      </c>
      <c r="E31" s="2">
        <f>IF(D31&lt;&gt;0,('Modelo Atmosférico'!$B$9/'Modelo Atmosférico'!$B$10)*((POWER(D31/'Modelo Atmosférico'!$B$14,(-'Modelo Atmosférico'!$B$11*'Modelo Atmosférico'!$B$10)/('Modelo Atmosférico'!$B$12*'Modelo Atmosférico'!$B$13)))-1),0)</f>
        <v>-88.017224257976835</v>
      </c>
      <c r="F31" s="8">
        <f t="shared" si="0"/>
        <v>-1.5964933554314058</v>
      </c>
      <c r="AR31" s="22"/>
      <c r="BA31" s="22"/>
    </row>
    <row r="32" spans="1:56" x14ac:dyDescent="0.25">
      <c r="A32" s="50">
        <v>4.6079999999999997</v>
      </c>
      <c r="B32" s="5"/>
      <c r="C32" s="35">
        <v>23536</v>
      </c>
      <c r="D32" s="3">
        <v>102389.61</v>
      </c>
      <c r="E32" s="2">
        <f>IF(D32&lt;&gt;0,('Modelo Atmosférico'!$B$9/'Modelo Atmosférico'!$B$10)*((POWER(D32/'Modelo Atmosférico'!$B$14,(-'Modelo Atmosférico'!$B$11*'Modelo Atmosférico'!$B$10)/('Modelo Atmosférico'!$B$12*'Modelo Atmosférico'!$B$13)))-1),0)</f>
        <v>-88.245864379370744</v>
      </c>
      <c r="F32" s="8">
        <f t="shared" si="0"/>
        <v>-1.8251334768253145</v>
      </c>
      <c r="AU32" s="22"/>
      <c r="BD32" s="22"/>
    </row>
    <row r="33" spans="1:60" x14ac:dyDescent="0.25">
      <c r="A33" s="50">
        <v>4.8</v>
      </c>
      <c r="B33" s="5"/>
      <c r="C33" s="35">
        <v>23533</v>
      </c>
      <c r="D33" s="3">
        <v>102397.91</v>
      </c>
      <c r="E33" s="2">
        <f>IF(D33&lt;&gt;0,('Modelo Atmosférico'!$B$9/'Modelo Atmosférico'!$B$10)*((POWER(D33/'Modelo Atmosférico'!$B$14,(-'Modelo Atmosférico'!$B$11*'Modelo Atmosférico'!$B$10)/('Modelo Atmosférico'!$B$12*'Modelo Atmosférico'!$B$13)))-1),0)</f>
        <v>-88.930929340626292</v>
      </c>
      <c r="F33" s="8">
        <f t="shared" si="0"/>
        <v>-2.5101984380808631</v>
      </c>
      <c r="AV33" s="22"/>
      <c r="BE33" s="22"/>
    </row>
    <row r="34" spans="1:60" x14ac:dyDescent="0.25">
      <c r="A34" s="50">
        <v>4.992</v>
      </c>
      <c r="B34" s="5"/>
      <c r="C34" s="35">
        <v>23535</v>
      </c>
      <c r="D34" s="3">
        <v>102392.38</v>
      </c>
      <c r="E34" s="2">
        <f>IF(D34&lt;&gt;0,('Modelo Atmosférico'!$B$9/'Modelo Atmosférico'!$B$10)*((POWER(D34/'Modelo Atmosférico'!$B$14,(-'Modelo Atmosférico'!$B$11*'Modelo Atmosférico'!$B$10)/('Modelo Atmosférico'!$B$12*'Modelo Atmosférico'!$B$13)))-1),0)</f>
        <v>-88.474499492172825</v>
      </c>
      <c r="F34" s="8">
        <f>IF(D34&lt;&gt;0,E34-$E$3,0)</f>
        <v>-2.0537685896273956</v>
      </c>
      <c r="AY34" s="22"/>
      <c r="BH34" s="22"/>
    </row>
    <row r="35" spans="1:60" x14ac:dyDescent="0.25">
      <c r="A35" s="50">
        <v>5.1840000000000002</v>
      </c>
      <c r="B35" s="5"/>
      <c r="C35" s="35">
        <v>23536</v>
      </c>
      <c r="D35" s="3">
        <v>102389.61</v>
      </c>
      <c r="E35" s="2">
        <f>IF(D35&lt;&gt;0,('Modelo Atmosférico'!$B$9/'Modelo Atmosférico'!$B$10)*((POWER(D35/'Modelo Atmosférico'!$B$14,(-'Modelo Atmosférico'!$B$11*'Modelo Atmosférico'!$B$10)/('Modelo Atmosférico'!$B$12*'Modelo Atmosférico'!$B$13)))-1),0)</f>
        <v>-88.245864379370744</v>
      </c>
      <c r="F35" s="8">
        <f t="shared" ref="F35:F98" si="1">IF(D35&lt;&gt;0,E35-$E$3,0)</f>
        <v>-1.8251334768253145</v>
      </c>
    </row>
    <row r="36" spans="1:60" x14ac:dyDescent="0.25">
      <c r="A36" s="50">
        <v>5.3760000000000003</v>
      </c>
      <c r="B36" s="5"/>
      <c r="C36" s="35">
        <v>23536</v>
      </c>
      <c r="D36" s="3">
        <v>102389.61</v>
      </c>
      <c r="E36" s="2">
        <f>IF(D36&lt;&gt;0,('Modelo Atmosférico'!$B$9/'Modelo Atmosférico'!$B$10)*((POWER(D36/'Modelo Atmosférico'!$B$14,(-'Modelo Atmosférico'!$B$11*'Modelo Atmosférico'!$B$10)/('Modelo Atmosférico'!$B$12*'Modelo Atmosférico'!$B$13)))-1),0)</f>
        <v>-88.245864379370744</v>
      </c>
      <c r="F36" s="8">
        <f t="shared" si="1"/>
        <v>-1.8251334768253145</v>
      </c>
    </row>
    <row r="37" spans="1:60" x14ac:dyDescent="0.25">
      <c r="A37" s="50">
        <v>5.5679999999999996</v>
      </c>
      <c r="B37" s="5"/>
      <c r="C37" s="35">
        <v>23532</v>
      </c>
      <c r="D37" s="3">
        <v>102400.67</v>
      </c>
      <c r="E37" s="2">
        <f>IF(D37&lt;&gt;0,('Modelo Atmosférico'!$B$9/'Modelo Atmosférico'!$B$10)*((POWER(D37/'Modelo Atmosférico'!$B$14,(-'Modelo Atmosférico'!$B$11*'Modelo Atmosférico'!$B$10)/('Modelo Atmosférico'!$B$12*'Modelo Atmosférico'!$B$13)))-1),0)</f>
        <v>-89.158724112875461</v>
      </c>
      <c r="F37" s="8">
        <f t="shared" si="1"/>
        <v>-2.737993210330032</v>
      </c>
    </row>
    <row r="38" spans="1:60" x14ac:dyDescent="0.25">
      <c r="A38" s="50">
        <v>5.76</v>
      </c>
      <c r="B38" s="5"/>
      <c r="C38" s="35">
        <v>23532</v>
      </c>
      <c r="D38" s="3">
        <v>102400.67</v>
      </c>
      <c r="E38" s="2">
        <f>IF(D38&lt;&gt;0,('Modelo Atmosférico'!$B$9/'Modelo Atmosférico'!$B$10)*((POWER(D38/'Modelo Atmosférico'!$B$14,(-'Modelo Atmosférico'!$B$11*'Modelo Atmosférico'!$B$10)/('Modelo Atmosférico'!$B$12*'Modelo Atmosférico'!$B$13)))-1),0)</f>
        <v>-89.158724112875461</v>
      </c>
      <c r="F38" s="8">
        <f t="shared" si="1"/>
        <v>-2.737993210330032</v>
      </c>
    </row>
    <row r="39" spans="1:60" x14ac:dyDescent="0.25">
      <c r="A39" s="50">
        <v>5.952</v>
      </c>
      <c r="B39" s="5"/>
      <c r="C39" s="35">
        <v>23534</v>
      </c>
      <c r="D39" s="3">
        <v>102395.14</v>
      </c>
      <c r="E39" s="2">
        <f>IF(D39&lt;&gt;0,('Modelo Atmosférico'!$B$9/'Modelo Atmosférico'!$B$10)*((POWER(D39/'Modelo Atmosférico'!$B$14,(-'Modelo Atmosférico'!$B$11*'Modelo Atmosférico'!$B$10)/('Modelo Atmosférico'!$B$12*'Modelo Atmosférico'!$B$13)))-1),0)</f>
        <v>-88.702304226197114</v>
      </c>
      <c r="F39" s="8">
        <f t="shared" si="1"/>
        <v>-2.2815733236516849</v>
      </c>
    </row>
    <row r="40" spans="1:60" x14ac:dyDescent="0.25">
      <c r="A40" s="50">
        <v>6.1440000000000001</v>
      </c>
      <c r="B40" s="5"/>
      <c r="C40" s="35">
        <v>23529</v>
      </c>
      <c r="D40" s="3">
        <v>102408.96000000001</v>
      </c>
      <c r="E40" s="2">
        <f>IF(D40&lt;&gt;0,('Modelo Atmosférico'!$B$9/'Modelo Atmosférico'!$B$10)*((POWER(D40/'Modelo Atmosférico'!$B$14,(-'Modelo Atmosférico'!$B$11*'Modelo Atmosférico'!$B$10)/('Modelo Atmosférico'!$B$12*'Modelo Atmosférico'!$B$13)))-1),0)</f>
        <v>-89.842903881754225</v>
      </c>
      <c r="F40" s="8">
        <f t="shared" si="1"/>
        <v>-3.4221729792087956</v>
      </c>
    </row>
    <row r="41" spans="1:60" x14ac:dyDescent="0.25">
      <c r="A41" s="50">
        <v>6.3360000000000003</v>
      </c>
      <c r="B41" s="5"/>
      <c r="C41" s="35">
        <v>23531</v>
      </c>
      <c r="D41" s="3">
        <v>102403.44</v>
      </c>
      <c r="E41" s="2">
        <f>IF(D41&lt;&gt;0,('Modelo Atmosférico'!$B$9/'Modelo Atmosférico'!$B$10)*((POWER(D41/'Modelo Atmosférico'!$B$14,(-'Modelo Atmosférico'!$B$11*'Modelo Atmosférico'!$B$10)/('Modelo Atmosférico'!$B$12*'Modelo Atmosférico'!$B$13)))-1),0)</f>
        <v>-89.387339229916051</v>
      </c>
      <c r="F41" s="8">
        <f t="shared" si="1"/>
        <v>-2.9666083273706221</v>
      </c>
    </row>
    <row r="42" spans="1:60" x14ac:dyDescent="0.25">
      <c r="A42" s="50">
        <v>6.5279999999999996</v>
      </c>
      <c r="B42" s="5"/>
      <c r="C42" s="35">
        <v>23531</v>
      </c>
      <c r="D42" s="3">
        <v>102403.44</v>
      </c>
      <c r="E42" s="2">
        <f>IF(D42&lt;&gt;0,('Modelo Atmosférico'!$B$9/'Modelo Atmosférico'!$B$10)*((POWER(D42/'Modelo Atmosférico'!$B$14,(-'Modelo Atmosférico'!$B$11*'Modelo Atmosférico'!$B$10)/('Modelo Atmosférico'!$B$12*'Modelo Atmosférico'!$B$13)))-1),0)</f>
        <v>-89.387339229916051</v>
      </c>
      <c r="F42" s="8">
        <f t="shared" si="1"/>
        <v>-2.9666083273706221</v>
      </c>
    </row>
    <row r="43" spans="1:60" x14ac:dyDescent="0.25">
      <c r="A43" s="50">
        <v>6.72</v>
      </c>
      <c r="B43" s="5"/>
      <c r="C43" s="35">
        <v>23531</v>
      </c>
      <c r="D43" s="3">
        <v>102403.44</v>
      </c>
      <c r="E43" s="2">
        <f>IF(D43&lt;&gt;0,('Modelo Atmosférico'!$B$9/'Modelo Atmosférico'!$B$10)*((POWER(D43/'Modelo Atmosférico'!$B$14,(-'Modelo Atmosférico'!$B$11*'Modelo Atmosférico'!$B$10)/('Modelo Atmosférico'!$B$12*'Modelo Atmosférico'!$B$13)))-1),0)</f>
        <v>-89.387339229916051</v>
      </c>
      <c r="F43" s="8">
        <f t="shared" si="1"/>
        <v>-2.9666083273706221</v>
      </c>
    </row>
    <row r="44" spans="1:60" x14ac:dyDescent="0.25">
      <c r="A44" s="50">
        <v>6.9119999999999999</v>
      </c>
      <c r="B44" s="5"/>
      <c r="C44" s="35">
        <v>23532</v>
      </c>
      <c r="D44" s="3">
        <v>102400.67</v>
      </c>
      <c r="E44" s="2">
        <f>IF(D44&lt;&gt;0,('Modelo Atmosférico'!$B$9/'Modelo Atmosférico'!$B$10)*((POWER(D44/'Modelo Atmosférico'!$B$14,(-'Modelo Atmosférico'!$B$11*'Modelo Atmosférico'!$B$10)/('Modelo Atmosférico'!$B$12*'Modelo Atmosférico'!$B$13)))-1),0)</f>
        <v>-89.158724112875461</v>
      </c>
      <c r="F44" s="8">
        <f t="shared" si="1"/>
        <v>-2.737993210330032</v>
      </c>
    </row>
    <row r="45" spans="1:60" x14ac:dyDescent="0.25">
      <c r="A45" s="50">
        <v>7.1040000000000001</v>
      </c>
      <c r="B45" s="5"/>
      <c r="C45" s="35">
        <v>23531</v>
      </c>
      <c r="D45" s="3">
        <v>102403.44</v>
      </c>
      <c r="E45" s="2">
        <f>IF(D45&lt;&gt;0,('Modelo Atmosférico'!$B$9/'Modelo Atmosférico'!$B$10)*((POWER(D45/'Modelo Atmosférico'!$B$14,(-'Modelo Atmosférico'!$B$11*'Modelo Atmosférico'!$B$10)/('Modelo Atmosférico'!$B$12*'Modelo Atmosférico'!$B$13)))-1),0)</f>
        <v>-89.387339229916051</v>
      </c>
      <c r="F45" s="8">
        <f t="shared" si="1"/>
        <v>-2.9666083273706221</v>
      </c>
    </row>
    <row r="46" spans="1:60" x14ac:dyDescent="0.25">
      <c r="A46" s="50">
        <v>7.2960000000000003</v>
      </c>
      <c r="B46" s="5"/>
      <c r="C46" s="35">
        <v>23530</v>
      </c>
      <c r="D46" s="3">
        <v>102406.2</v>
      </c>
      <c r="E46" s="2">
        <f>IF(D46&lt;&gt;0,('Modelo Atmosférico'!$B$9/'Modelo Atmosférico'!$B$10)*((POWER(D46/'Modelo Atmosférico'!$B$14,(-'Modelo Atmosférico'!$B$11*'Modelo Atmosférico'!$B$10)/('Modelo Atmosférico'!$B$12*'Modelo Atmosférico'!$B$13)))-1),0)</f>
        <v>-89.615124041354761</v>
      </c>
      <c r="F46" s="8">
        <f t="shared" si="1"/>
        <v>-3.1943931388093318</v>
      </c>
    </row>
    <row r="47" spans="1:60" x14ac:dyDescent="0.25">
      <c r="A47" s="50">
        <v>7.4880000000000004</v>
      </c>
      <c r="B47" s="5"/>
      <c r="C47" s="35">
        <v>23532</v>
      </c>
      <c r="D47" s="3">
        <v>102400.67</v>
      </c>
      <c r="E47" s="2">
        <f>IF(D47&lt;&gt;0,('Modelo Atmosférico'!$B$9/'Modelo Atmosférico'!$B$10)*((POWER(D47/'Modelo Atmosférico'!$B$14,(-'Modelo Atmosférico'!$B$11*'Modelo Atmosférico'!$B$10)/('Modelo Atmosférico'!$B$12*'Modelo Atmosférico'!$B$13)))-1),0)</f>
        <v>-89.158724112875461</v>
      </c>
      <c r="F47" s="8">
        <f t="shared" si="1"/>
        <v>-2.737993210330032</v>
      </c>
    </row>
    <row r="48" spans="1:60" x14ac:dyDescent="0.25">
      <c r="A48" s="50">
        <v>7.68</v>
      </c>
      <c r="B48" s="5"/>
      <c r="C48" s="35">
        <v>23531</v>
      </c>
      <c r="D48" s="3">
        <v>102403.44</v>
      </c>
      <c r="E48" s="2">
        <f>IF(D48&lt;&gt;0,('Modelo Atmosférico'!$B$9/'Modelo Atmosférico'!$B$10)*((POWER(D48/'Modelo Atmosférico'!$B$14,(-'Modelo Atmosférico'!$B$11*'Modelo Atmosférico'!$B$10)/('Modelo Atmosférico'!$B$12*'Modelo Atmosférico'!$B$13)))-1),0)</f>
        <v>-89.387339229916051</v>
      </c>
      <c r="F48" s="8">
        <f t="shared" si="1"/>
        <v>-2.9666083273706221</v>
      </c>
    </row>
    <row r="49" spans="1:6" x14ac:dyDescent="0.25">
      <c r="A49" s="50">
        <v>7.8719999999999999</v>
      </c>
      <c r="B49" s="5"/>
      <c r="C49" s="35">
        <v>23532</v>
      </c>
      <c r="D49" s="3">
        <v>102400.67</v>
      </c>
      <c r="E49" s="2">
        <f>IF(D49&lt;&gt;0,('Modelo Atmosférico'!$B$9/'Modelo Atmosférico'!$B$10)*((POWER(D49/'Modelo Atmosférico'!$B$14,(-'Modelo Atmosférico'!$B$11*'Modelo Atmosférico'!$B$10)/('Modelo Atmosférico'!$B$12*'Modelo Atmosférico'!$B$13)))-1),0)</f>
        <v>-89.158724112875461</v>
      </c>
      <c r="F49" s="8">
        <f t="shared" si="1"/>
        <v>-2.737993210330032</v>
      </c>
    </row>
    <row r="50" spans="1:6" x14ac:dyDescent="0.25">
      <c r="A50" s="50">
        <v>8.0640000000000001</v>
      </c>
      <c r="B50" s="5"/>
      <c r="C50" s="35">
        <v>23531</v>
      </c>
      <c r="D50" s="3">
        <v>102403.44</v>
      </c>
      <c r="E50" s="2">
        <f>IF(D50&lt;&gt;0,('Modelo Atmosférico'!$B$9/'Modelo Atmosférico'!$B$10)*((POWER(D50/'Modelo Atmosférico'!$B$14,(-'Modelo Atmosférico'!$B$11*'Modelo Atmosférico'!$B$10)/('Modelo Atmosférico'!$B$12*'Modelo Atmosférico'!$B$13)))-1),0)</f>
        <v>-89.387339229916051</v>
      </c>
      <c r="F50" s="8">
        <f t="shared" si="1"/>
        <v>-2.9666083273706221</v>
      </c>
    </row>
    <row r="51" spans="1:6" x14ac:dyDescent="0.25">
      <c r="A51" s="50">
        <v>8.2560000000000002</v>
      </c>
      <c r="B51" s="5"/>
      <c r="C51" s="35">
        <v>23530</v>
      </c>
      <c r="D51" s="3">
        <v>102406.2</v>
      </c>
      <c r="E51" s="2">
        <f>IF(D51&lt;&gt;0,('Modelo Atmosférico'!$B$9/'Modelo Atmosférico'!$B$10)*((POWER(D51/'Modelo Atmosférico'!$B$14,(-'Modelo Atmosférico'!$B$11*'Modelo Atmosférico'!$B$10)/('Modelo Atmosférico'!$B$12*'Modelo Atmosférico'!$B$13)))-1),0)</f>
        <v>-89.615124041354761</v>
      </c>
      <c r="F51" s="8">
        <f t="shared" si="1"/>
        <v>-3.1943931388093318</v>
      </c>
    </row>
    <row r="52" spans="1:6" x14ac:dyDescent="0.25">
      <c r="A52" s="50">
        <v>8.4480000000000004</v>
      </c>
      <c r="B52" s="5"/>
      <c r="C52" s="35">
        <v>23530</v>
      </c>
      <c r="D52" s="3">
        <v>102406.2</v>
      </c>
      <c r="E52" s="2">
        <f>IF(D52&lt;&gt;0,('Modelo Atmosférico'!$B$9/'Modelo Atmosférico'!$B$10)*((POWER(D52/'Modelo Atmosférico'!$B$14,(-'Modelo Atmosférico'!$B$11*'Modelo Atmosférico'!$B$10)/('Modelo Atmosférico'!$B$12*'Modelo Atmosférico'!$B$13)))-1),0)</f>
        <v>-89.615124041354761</v>
      </c>
      <c r="F52" s="8">
        <f t="shared" si="1"/>
        <v>-3.1943931388093318</v>
      </c>
    </row>
    <row r="53" spans="1:6" x14ac:dyDescent="0.25">
      <c r="A53" s="50">
        <v>8.64</v>
      </c>
      <c r="B53" s="5"/>
      <c r="C53" s="35">
        <v>23530</v>
      </c>
      <c r="D53" s="3">
        <v>102406.2</v>
      </c>
      <c r="E53" s="2">
        <f>IF(D53&lt;&gt;0,('Modelo Atmosférico'!$B$9/'Modelo Atmosférico'!$B$10)*((POWER(D53/'Modelo Atmosférico'!$B$14,(-'Modelo Atmosférico'!$B$11*'Modelo Atmosférico'!$B$10)/('Modelo Atmosférico'!$B$12*'Modelo Atmosférico'!$B$13)))-1),0)</f>
        <v>-89.615124041354761</v>
      </c>
      <c r="F53" s="8">
        <f t="shared" si="1"/>
        <v>-3.1943931388093318</v>
      </c>
    </row>
    <row r="54" spans="1:6" x14ac:dyDescent="0.25">
      <c r="A54" s="50">
        <v>8.8320000000000007</v>
      </c>
      <c r="B54" s="5"/>
      <c r="C54" s="35">
        <v>23531</v>
      </c>
      <c r="D54" s="3">
        <v>102403.44</v>
      </c>
      <c r="E54" s="2">
        <f>IF(D54&lt;&gt;0,('Modelo Atmosférico'!$B$9/'Modelo Atmosférico'!$B$10)*((POWER(D54/'Modelo Atmosférico'!$B$14,(-'Modelo Atmosférico'!$B$11*'Modelo Atmosférico'!$B$10)/('Modelo Atmosférico'!$B$12*'Modelo Atmosférico'!$B$13)))-1),0)</f>
        <v>-89.387339229916051</v>
      </c>
      <c r="F54" s="8">
        <f t="shared" si="1"/>
        <v>-2.9666083273706221</v>
      </c>
    </row>
    <row r="55" spans="1:6" x14ac:dyDescent="0.25">
      <c r="A55" s="50">
        <v>9.0239999999999991</v>
      </c>
      <c r="B55" s="5"/>
      <c r="C55" s="35">
        <v>23529</v>
      </c>
      <c r="D55" s="3">
        <v>102408.96000000001</v>
      </c>
      <c r="E55" s="2">
        <f>IF(D55&lt;&gt;0,('Modelo Atmosférico'!$B$9/'Modelo Atmosférico'!$B$10)*((POWER(D55/'Modelo Atmosférico'!$B$14,(-'Modelo Atmosférico'!$B$11*'Modelo Atmosférico'!$B$10)/('Modelo Atmosférico'!$B$12*'Modelo Atmosférico'!$B$13)))-1),0)</f>
        <v>-89.842903881754225</v>
      </c>
      <c r="F55" s="8">
        <f t="shared" si="1"/>
        <v>-3.4221729792087956</v>
      </c>
    </row>
    <row r="56" spans="1:6" x14ac:dyDescent="0.25">
      <c r="A56" s="50">
        <v>9.2159999999999993</v>
      </c>
      <c r="B56" s="5"/>
      <c r="C56" s="35">
        <v>23529</v>
      </c>
      <c r="D56" s="3">
        <v>102408.96000000001</v>
      </c>
      <c r="E56" s="2">
        <f>IF(D56&lt;&gt;0,('Modelo Atmosférico'!$B$9/'Modelo Atmosférico'!$B$10)*((POWER(D56/'Modelo Atmosférico'!$B$14,(-'Modelo Atmosférico'!$B$11*'Modelo Atmosférico'!$B$10)/('Modelo Atmosférico'!$B$12*'Modelo Atmosférico'!$B$13)))-1),0)</f>
        <v>-89.842903881754225</v>
      </c>
      <c r="F56" s="8">
        <f t="shared" si="1"/>
        <v>-3.4221729792087956</v>
      </c>
    </row>
    <row r="57" spans="1:6" x14ac:dyDescent="0.25">
      <c r="A57" s="50">
        <v>9.4079999999999995</v>
      </c>
      <c r="B57" s="5"/>
      <c r="C57" s="35">
        <v>23530</v>
      </c>
      <c r="D57" s="3">
        <v>102406.2</v>
      </c>
      <c r="E57" s="2">
        <f>IF(D57&lt;&gt;0,('Modelo Atmosférico'!$B$9/'Modelo Atmosférico'!$B$10)*((POWER(D57/'Modelo Atmosférico'!$B$14,(-'Modelo Atmosférico'!$B$11*'Modelo Atmosférico'!$B$10)/('Modelo Atmosférico'!$B$12*'Modelo Atmosférico'!$B$13)))-1),0)</f>
        <v>-89.615124041354761</v>
      </c>
      <c r="F57" s="8">
        <f t="shared" si="1"/>
        <v>-3.1943931388093318</v>
      </c>
    </row>
    <row r="58" spans="1:6" x14ac:dyDescent="0.25">
      <c r="A58" s="50">
        <v>9.6</v>
      </c>
      <c r="B58" s="5"/>
      <c r="C58" s="35">
        <v>23529</v>
      </c>
      <c r="D58" s="3">
        <v>102408.96000000001</v>
      </c>
      <c r="E58" s="2">
        <f>IF(D58&lt;&gt;0,('Modelo Atmosférico'!$B$9/'Modelo Atmosférico'!$B$10)*((POWER(D58/'Modelo Atmosférico'!$B$14,(-'Modelo Atmosférico'!$B$11*'Modelo Atmosférico'!$B$10)/('Modelo Atmosférico'!$B$12*'Modelo Atmosférico'!$B$13)))-1),0)</f>
        <v>-89.842903881754225</v>
      </c>
      <c r="F58" s="8">
        <f t="shared" si="1"/>
        <v>-3.4221729792087956</v>
      </c>
    </row>
    <row r="59" spans="1:6" x14ac:dyDescent="0.25">
      <c r="A59" s="50">
        <v>9.7919999999999998</v>
      </c>
      <c r="B59" s="5"/>
      <c r="C59" s="35">
        <v>23532</v>
      </c>
      <c r="D59" s="3">
        <v>102400.67</v>
      </c>
      <c r="E59" s="2">
        <f>IF(D59&lt;&gt;0,('Modelo Atmosférico'!$B$9/'Modelo Atmosférico'!$B$10)*((POWER(D59/'Modelo Atmosférico'!$B$14,(-'Modelo Atmosférico'!$B$11*'Modelo Atmosférico'!$B$10)/('Modelo Atmosférico'!$B$12*'Modelo Atmosférico'!$B$13)))-1),0)</f>
        <v>-89.158724112875461</v>
      </c>
      <c r="F59" s="8">
        <f t="shared" si="1"/>
        <v>-2.737993210330032</v>
      </c>
    </row>
    <row r="60" spans="1:6" x14ac:dyDescent="0.25">
      <c r="A60" s="50">
        <v>9.984</v>
      </c>
      <c r="B60" s="5"/>
      <c r="C60" s="35">
        <v>23527</v>
      </c>
      <c r="D60" s="3">
        <v>102414.48</v>
      </c>
      <c r="E60" s="2">
        <f>IF(D60&lt;&gt;0,('Modelo Atmosférico'!$B$9/'Modelo Atmosférico'!$B$10)*((POWER(D60/'Modelo Atmosférico'!$B$14,(-'Modelo Atmosférico'!$B$11*'Modelo Atmosférico'!$B$10)/('Modelo Atmosférico'!$B$12*'Modelo Atmosférico'!$B$13)))-1),0)</f>
        <v>-90.298448650429663</v>
      </c>
      <c r="F60" s="8">
        <f t="shared" si="1"/>
        <v>-3.8777177478842333</v>
      </c>
    </row>
    <row r="61" spans="1:6" x14ac:dyDescent="0.25">
      <c r="A61" s="50">
        <v>10.176</v>
      </c>
      <c r="B61" s="5"/>
      <c r="C61" s="35">
        <v>23530</v>
      </c>
      <c r="D61" s="3">
        <v>102406.2</v>
      </c>
      <c r="E61" s="2">
        <f>IF(D61&lt;&gt;0,('Modelo Atmosférico'!$B$9/'Modelo Atmosférico'!$B$10)*((POWER(D61/'Modelo Atmosférico'!$B$14,(-'Modelo Atmosférico'!$B$11*'Modelo Atmosférico'!$B$10)/('Modelo Atmosférico'!$B$12*'Modelo Atmosférico'!$B$13)))-1),0)</f>
        <v>-89.615124041354761</v>
      </c>
      <c r="F61" s="8">
        <f t="shared" si="1"/>
        <v>-3.1943931388093318</v>
      </c>
    </row>
    <row r="62" spans="1:6" x14ac:dyDescent="0.25">
      <c r="A62" s="50">
        <v>10.368</v>
      </c>
      <c r="B62" s="5"/>
      <c r="C62" s="35">
        <v>23527</v>
      </c>
      <c r="D62" s="3">
        <v>102414.48</v>
      </c>
      <c r="E62" s="2">
        <f>IF(D62&lt;&gt;0,('Modelo Atmosférico'!$B$9/'Modelo Atmosférico'!$B$10)*((POWER(D62/'Modelo Atmosférico'!$B$14,(-'Modelo Atmosférico'!$B$11*'Modelo Atmosférico'!$B$10)/('Modelo Atmosférico'!$B$12*'Modelo Atmosférico'!$B$13)))-1),0)</f>
        <v>-90.298448650429663</v>
      </c>
      <c r="F62" s="8">
        <f t="shared" si="1"/>
        <v>-3.8777177478842333</v>
      </c>
    </row>
    <row r="63" spans="1:6" x14ac:dyDescent="0.25">
      <c r="A63" s="50">
        <v>10.56</v>
      </c>
      <c r="B63" s="5"/>
      <c r="C63" s="35">
        <v>23528</v>
      </c>
      <c r="D63" s="3">
        <v>102411.72</v>
      </c>
      <c r="E63" s="2">
        <f>IF(D63&lt;&gt;0,('Modelo Atmosférico'!$B$9/'Modelo Atmosférico'!$B$10)*((POWER(D63/'Modelo Atmosférico'!$B$14,(-'Modelo Atmosférico'!$B$11*'Modelo Atmosférico'!$B$10)/('Modelo Atmosférico'!$B$12*'Modelo Atmosférico'!$B$13)))-1),0)</f>
        <v>-90.070678751370394</v>
      </c>
      <c r="F63" s="8">
        <f t="shared" si="1"/>
        <v>-3.649947848824965</v>
      </c>
    </row>
    <row r="64" spans="1:6" x14ac:dyDescent="0.25">
      <c r="A64" s="50">
        <v>10.752000000000001</v>
      </c>
      <c r="B64" s="5"/>
      <c r="C64" s="35">
        <v>23527</v>
      </c>
      <c r="D64" s="3">
        <v>102414.48</v>
      </c>
      <c r="E64" s="2">
        <f>IF(D64&lt;&gt;0,('Modelo Atmosférico'!$B$9/'Modelo Atmosférico'!$B$10)*((POWER(D64/'Modelo Atmosférico'!$B$14,(-'Modelo Atmosférico'!$B$11*'Modelo Atmosférico'!$B$10)/('Modelo Atmosférico'!$B$12*'Modelo Atmosférico'!$B$13)))-1),0)</f>
        <v>-90.298448650429663</v>
      </c>
      <c r="F64" s="8">
        <f t="shared" si="1"/>
        <v>-3.8777177478842333</v>
      </c>
    </row>
    <row r="65" spans="1:6" x14ac:dyDescent="0.25">
      <c r="A65" s="50">
        <v>10.944000000000001</v>
      </c>
      <c r="B65" s="5"/>
      <c r="C65" s="35">
        <v>23527</v>
      </c>
      <c r="D65" s="3">
        <v>102414.48</v>
      </c>
      <c r="E65" s="2">
        <f>IF(D65&lt;&gt;0,('Modelo Atmosférico'!$B$9/'Modelo Atmosférico'!$B$10)*((POWER(D65/'Modelo Atmosférico'!$B$14,(-'Modelo Atmosférico'!$B$11*'Modelo Atmosférico'!$B$10)/('Modelo Atmosférico'!$B$12*'Modelo Atmosférico'!$B$13)))-1),0)</f>
        <v>-90.298448650429663</v>
      </c>
      <c r="F65" s="8">
        <f t="shared" si="1"/>
        <v>-3.8777177478842333</v>
      </c>
    </row>
    <row r="66" spans="1:6" x14ac:dyDescent="0.25">
      <c r="A66" s="50"/>
      <c r="B66" s="5"/>
      <c r="C66" s="35"/>
      <c r="D66" s="3"/>
      <c r="E66" s="2">
        <f>IF(D66&lt;&gt;0,('Modelo Atmosférico'!$B$9/'Modelo Atmosférico'!$B$10)*((POWER(D66/'Modelo Atmosférico'!$B$14,(-'Modelo Atmosférico'!$B$11*'Modelo Atmosférico'!$B$10)/('Modelo Atmosférico'!$B$12*'Modelo Atmosférico'!$B$13)))-1),0)</f>
        <v>0</v>
      </c>
      <c r="F66" s="8">
        <f t="shared" si="1"/>
        <v>0</v>
      </c>
    </row>
    <row r="67" spans="1:6" x14ac:dyDescent="0.25">
      <c r="A67" s="50"/>
      <c r="B67" s="5"/>
      <c r="C67" s="35"/>
      <c r="D67" s="3"/>
      <c r="E67" s="2">
        <f>IF(D67&lt;&gt;0,('Modelo Atmosférico'!$B$9/'Modelo Atmosférico'!$B$10)*((POWER(D67/'Modelo Atmosférico'!$B$14,(-'Modelo Atmosférico'!$B$11*'Modelo Atmosférico'!$B$10)/('Modelo Atmosférico'!$B$12*'Modelo Atmosférico'!$B$13)))-1),0)</f>
        <v>0</v>
      </c>
      <c r="F67" s="8">
        <f t="shared" si="1"/>
        <v>0</v>
      </c>
    </row>
    <row r="68" spans="1:6" x14ac:dyDescent="0.25">
      <c r="A68" s="50"/>
      <c r="B68" s="5"/>
      <c r="C68" s="35"/>
      <c r="D68" s="3"/>
      <c r="E68" s="2">
        <f>IF(D68&lt;&gt;0,('Modelo Atmosférico'!$B$9/'Modelo Atmosférico'!$B$10)*((POWER(D68/'Modelo Atmosférico'!$B$14,(-'Modelo Atmosférico'!$B$11*'Modelo Atmosférico'!$B$10)/('Modelo Atmosférico'!$B$12*'Modelo Atmosférico'!$B$13)))-1),0)</f>
        <v>0</v>
      </c>
      <c r="F68" s="8">
        <f t="shared" si="1"/>
        <v>0</v>
      </c>
    </row>
    <row r="69" spans="1:6" x14ac:dyDescent="0.25">
      <c r="A69" s="50"/>
      <c r="B69" s="5"/>
      <c r="C69" s="35"/>
      <c r="D69" s="3"/>
      <c r="E69" s="2">
        <f>IF(D69&lt;&gt;0,('Modelo Atmosférico'!$B$9/'Modelo Atmosférico'!$B$10)*((POWER(D69/'Modelo Atmosférico'!$B$14,(-'Modelo Atmosférico'!$B$11*'Modelo Atmosférico'!$B$10)/('Modelo Atmosférico'!$B$12*'Modelo Atmosférico'!$B$13)))-1),0)</f>
        <v>0</v>
      </c>
      <c r="F69" s="8">
        <f t="shared" si="1"/>
        <v>0</v>
      </c>
    </row>
    <row r="70" spans="1:6" x14ac:dyDescent="0.25">
      <c r="A70" s="50"/>
      <c r="B70" s="5"/>
      <c r="C70" s="35"/>
      <c r="D70" s="3"/>
      <c r="E70" s="2">
        <f>IF(D70&lt;&gt;0,('Modelo Atmosférico'!$B$9/'Modelo Atmosférico'!$B$10)*((POWER(D70/'Modelo Atmosférico'!$B$14,(-'Modelo Atmosférico'!$B$11*'Modelo Atmosférico'!$B$10)/('Modelo Atmosférico'!$B$12*'Modelo Atmosférico'!$B$13)))-1),0)</f>
        <v>0</v>
      </c>
      <c r="F70" s="8">
        <f t="shared" si="1"/>
        <v>0</v>
      </c>
    </row>
    <row r="71" spans="1:6" x14ac:dyDescent="0.25">
      <c r="A71" s="50"/>
      <c r="B71" s="5"/>
      <c r="C71" s="35"/>
      <c r="D71" s="3"/>
      <c r="E71" s="2">
        <f>IF(D71&lt;&gt;0,('Modelo Atmosférico'!$B$9/'Modelo Atmosférico'!$B$10)*((POWER(D71/'Modelo Atmosférico'!$B$14,(-'Modelo Atmosférico'!$B$11*'Modelo Atmosférico'!$B$10)/('Modelo Atmosférico'!$B$12*'Modelo Atmosférico'!$B$13)))-1),0)</f>
        <v>0</v>
      </c>
      <c r="F71" s="8">
        <f t="shared" si="1"/>
        <v>0</v>
      </c>
    </row>
    <row r="72" spans="1:6" x14ac:dyDescent="0.25">
      <c r="A72" s="50"/>
      <c r="B72" s="5"/>
      <c r="C72" s="35"/>
      <c r="D72" s="3"/>
      <c r="E72" s="2">
        <f>IF(D72&lt;&gt;0,('Modelo Atmosférico'!$B$9/'Modelo Atmosférico'!$B$10)*((POWER(D72/'Modelo Atmosférico'!$B$14,(-'Modelo Atmosférico'!$B$11*'Modelo Atmosférico'!$B$10)/('Modelo Atmosférico'!$B$12*'Modelo Atmosférico'!$B$13)))-1),0)</f>
        <v>0</v>
      </c>
      <c r="F72" s="8">
        <f t="shared" si="1"/>
        <v>0</v>
      </c>
    </row>
    <row r="73" spans="1:6" x14ac:dyDescent="0.25">
      <c r="A73" s="50"/>
      <c r="B73" s="5"/>
      <c r="C73" s="35"/>
      <c r="D73" s="3"/>
      <c r="E73" s="2">
        <f>IF(D73&lt;&gt;0,('Modelo Atmosférico'!$B$9/'Modelo Atmosférico'!$B$10)*((POWER(D73/'Modelo Atmosférico'!$B$14,(-'Modelo Atmosférico'!$B$11*'Modelo Atmosférico'!$B$10)/('Modelo Atmosférico'!$B$12*'Modelo Atmosférico'!$B$13)))-1),0)</f>
        <v>0</v>
      </c>
      <c r="F73" s="8">
        <f t="shared" si="1"/>
        <v>0</v>
      </c>
    </row>
    <row r="74" spans="1:6" x14ac:dyDescent="0.25">
      <c r="A74" s="50"/>
      <c r="B74" s="5"/>
      <c r="C74" s="35"/>
      <c r="D74" s="3"/>
      <c r="E74" s="2">
        <f>IF(D74&lt;&gt;0,('Modelo Atmosférico'!$B$9/'Modelo Atmosférico'!$B$10)*((POWER(D74/'Modelo Atmosférico'!$B$14,(-'Modelo Atmosférico'!$B$11*'Modelo Atmosférico'!$B$10)/('Modelo Atmosférico'!$B$12*'Modelo Atmosférico'!$B$13)))-1),0)</f>
        <v>0</v>
      </c>
      <c r="F74" s="8">
        <f t="shared" si="1"/>
        <v>0</v>
      </c>
    </row>
    <row r="75" spans="1:6" x14ac:dyDescent="0.25">
      <c r="A75" s="50"/>
      <c r="B75" s="5"/>
      <c r="C75" s="35"/>
      <c r="D75" s="3"/>
      <c r="E75" s="2">
        <f>IF(D75&lt;&gt;0,('Modelo Atmosférico'!$B$9/'Modelo Atmosférico'!$B$10)*((POWER(D75/'Modelo Atmosférico'!$B$14,(-'Modelo Atmosférico'!$B$11*'Modelo Atmosférico'!$B$10)/('Modelo Atmosférico'!$B$12*'Modelo Atmosférico'!$B$13)))-1),0)</f>
        <v>0</v>
      </c>
      <c r="F75" s="8">
        <f t="shared" si="1"/>
        <v>0</v>
      </c>
    </row>
    <row r="76" spans="1:6" x14ac:dyDescent="0.25">
      <c r="A76" s="50"/>
      <c r="B76" s="5"/>
      <c r="C76" s="35"/>
      <c r="D76" s="3"/>
      <c r="E76" s="2">
        <f>IF(D76&lt;&gt;0,('Modelo Atmosférico'!$B$9/'Modelo Atmosférico'!$B$10)*((POWER(D76/'Modelo Atmosférico'!$B$14,(-'Modelo Atmosférico'!$B$11*'Modelo Atmosférico'!$B$10)/('Modelo Atmosférico'!$B$12*'Modelo Atmosférico'!$B$13)))-1),0)</f>
        <v>0</v>
      </c>
      <c r="F76" s="8">
        <f t="shared" si="1"/>
        <v>0</v>
      </c>
    </row>
    <row r="77" spans="1:6" x14ac:dyDescent="0.25">
      <c r="A77" s="50"/>
      <c r="B77" s="5"/>
      <c r="C77" s="35"/>
      <c r="D77" s="3"/>
      <c r="E77" s="2">
        <f>IF(D77&lt;&gt;0,('Modelo Atmosférico'!$B$9/'Modelo Atmosférico'!$B$10)*((POWER(D77/'Modelo Atmosférico'!$B$14,(-'Modelo Atmosférico'!$B$11*'Modelo Atmosférico'!$B$10)/('Modelo Atmosférico'!$B$12*'Modelo Atmosférico'!$B$13)))-1),0)</f>
        <v>0</v>
      </c>
      <c r="F77" s="8">
        <f t="shared" si="1"/>
        <v>0</v>
      </c>
    </row>
    <row r="78" spans="1:6" x14ac:dyDescent="0.25">
      <c r="A78" s="50"/>
      <c r="B78" s="5"/>
      <c r="C78" s="35"/>
      <c r="D78" s="3"/>
      <c r="E78" s="2">
        <f>IF(D78&lt;&gt;0,('Modelo Atmosférico'!$B$9/'Modelo Atmosférico'!$B$10)*((POWER(D78/'Modelo Atmosférico'!$B$14,(-'Modelo Atmosférico'!$B$11*'Modelo Atmosférico'!$B$10)/('Modelo Atmosférico'!$B$12*'Modelo Atmosférico'!$B$13)))-1),0)</f>
        <v>0</v>
      </c>
      <c r="F78" s="8">
        <f t="shared" si="1"/>
        <v>0</v>
      </c>
    </row>
    <row r="79" spans="1:6" x14ac:dyDescent="0.25">
      <c r="A79" s="50"/>
      <c r="B79" s="5"/>
      <c r="C79" s="35"/>
      <c r="D79" s="3"/>
      <c r="E79" s="2">
        <f>IF(D79&lt;&gt;0,('Modelo Atmosférico'!$B$9/'Modelo Atmosférico'!$B$10)*((POWER(D79/'Modelo Atmosférico'!$B$14,(-'Modelo Atmosférico'!$B$11*'Modelo Atmosférico'!$B$10)/('Modelo Atmosférico'!$B$12*'Modelo Atmosférico'!$B$13)))-1),0)</f>
        <v>0</v>
      </c>
      <c r="F79" s="8">
        <f t="shared" si="1"/>
        <v>0</v>
      </c>
    </row>
    <row r="80" spans="1:6" x14ac:dyDescent="0.25">
      <c r="A80" s="50"/>
      <c r="B80" s="5"/>
      <c r="C80" s="35"/>
      <c r="D80" s="3"/>
      <c r="E80" s="2">
        <f>IF(D80&lt;&gt;0,('Modelo Atmosférico'!$B$9/'Modelo Atmosférico'!$B$10)*((POWER(D80/'Modelo Atmosférico'!$B$14,(-'Modelo Atmosférico'!$B$11*'Modelo Atmosférico'!$B$10)/('Modelo Atmosférico'!$B$12*'Modelo Atmosférico'!$B$13)))-1),0)</f>
        <v>0</v>
      </c>
      <c r="F80" s="8">
        <f t="shared" si="1"/>
        <v>0</v>
      </c>
    </row>
    <row r="81" spans="1:6" x14ac:dyDescent="0.25">
      <c r="A81" s="50"/>
      <c r="B81" s="5"/>
      <c r="C81" s="35"/>
      <c r="D81" s="3"/>
      <c r="E81" s="2">
        <f>IF(D81&lt;&gt;0,('Modelo Atmosférico'!$B$9/'Modelo Atmosférico'!$B$10)*((POWER(D81/'Modelo Atmosférico'!$B$14,(-'Modelo Atmosférico'!$B$11*'Modelo Atmosférico'!$B$10)/('Modelo Atmosférico'!$B$12*'Modelo Atmosférico'!$B$13)))-1),0)</f>
        <v>0</v>
      </c>
      <c r="F81" s="8">
        <f t="shared" si="1"/>
        <v>0</v>
      </c>
    </row>
    <row r="82" spans="1:6" x14ac:dyDescent="0.25">
      <c r="A82" s="50"/>
      <c r="B82" s="5"/>
      <c r="C82" s="35"/>
      <c r="D82" s="3"/>
      <c r="E82" s="2">
        <f>IF(D82&lt;&gt;0,('Modelo Atmosférico'!$B$9/'Modelo Atmosférico'!$B$10)*((POWER(D82/'Modelo Atmosférico'!$B$14,(-'Modelo Atmosférico'!$B$11*'Modelo Atmosférico'!$B$10)/('Modelo Atmosférico'!$B$12*'Modelo Atmosférico'!$B$13)))-1),0)</f>
        <v>0</v>
      </c>
      <c r="F82" s="8">
        <f t="shared" si="1"/>
        <v>0</v>
      </c>
    </row>
    <row r="83" spans="1:6" x14ac:dyDescent="0.25">
      <c r="A83" s="50"/>
      <c r="B83" s="5"/>
      <c r="C83" s="35"/>
      <c r="D83" s="3"/>
      <c r="E83" s="2">
        <f>IF(D83&lt;&gt;0,('Modelo Atmosférico'!$B$9/'Modelo Atmosférico'!$B$10)*((POWER(D83/'Modelo Atmosférico'!$B$14,(-'Modelo Atmosférico'!$B$11*'Modelo Atmosférico'!$B$10)/('Modelo Atmosférico'!$B$12*'Modelo Atmosférico'!$B$13)))-1),0)</f>
        <v>0</v>
      </c>
      <c r="F83" s="8">
        <f t="shared" si="1"/>
        <v>0</v>
      </c>
    </row>
    <row r="84" spans="1:6" x14ac:dyDescent="0.25">
      <c r="A84" s="50"/>
      <c r="B84" s="5"/>
      <c r="C84" s="35"/>
      <c r="D84" s="3"/>
      <c r="E84" s="2">
        <f>IF(D84&lt;&gt;0,('Modelo Atmosférico'!$B$9/'Modelo Atmosférico'!$B$10)*((POWER(D84/'Modelo Atmosférico'!$B$14,(-'Modelo Atmosférico'!$B$11*'Modelo Atmosférico'!$B$10)/('Modelo Atmosférico'!$B$12*'Modelo Atmosférico'!$B$13)))-1),0)</f>
        <v>0</v>
      </c>
      <c r="F84" s="8">
        <f t="shared" si="1"/>
        <v>0</v>
      </c>
    </row>
    <row r="85" spans="1:6" x14ac:dyDescent="0.25">
      <c r="A85" s="50"/>
      <c r="B85" s="5"/>
      <c r="C85" s="35"/>
      <c r="D85" s="3"/>
      <c r="E85" s="2">
        <f>IF(D85&lt;&gt;0,('Modelo Atmosférico'!$B$9/'Modelo Atmosférico'!$B$10)*((POWER(D85/'Modelo Atmosférico'!$B$14,(-'Modelo Atmosférico'!$B$11*'Modelo Atmosférico'!$B$10)/('Modelo Atmosférico'!$B$12*'Modelo Atmosférico'!$B$13)))-1),0)</f>
        <v>0</v>
      </c>
      <c r="F85" s="8">
        <f t="shared" si="1"/>
        <v>0</v>
      </c>
    </row>
    <row r="86" spans="1:6" x14ac:dyDescent="0.25">
      <c r="A86" s="50"/>
      <c r="B86" s="5"/>
      <c r="C86" s="35"/>
      <c r="D86" s="3"/>
      <c r="E86" s="2">
        <f>IF(D86&lt;&gt;0,('Modelo Atmosférico'!$B$9/'Modelo Atmosférico'!$B$10)*((POWER(D86/'Modelo Atmosférico'!$B$14,(-'Modelo Atmosférico'!$B$11*'Modelo Atmosférico'!$B$10)/('Modelo Atmosférico'!$B$12*'Modelo Atmosférico'!$B$13)))-1),0)</f>
        <v>0</v>
      </c>
      <c r="F86" s="8">
        <f t="shared" si="1"/>
        <v>0</v>
      </c>
    </row>
    <row r="87" spans="1:6" x14ac:dyDescent="0.25">
      <c r="A87" s="50"/>
      <c r="B87" s="5"/>
      <c r="C87" s="35"/>
      <c r="D87" s="3"/>
      <c r="E87" s="2">
        <f>IF(D87&lt;&gt;0,('Modelo Atmosférico'!$B$9/'Modelo Atmosférico'!$B$10)*((POWER(D87/'Modelo Atmosférico'!$B$14,(-'Modelo Atmosférico'!$B$11*'Modelo Atmosférico'!$B$10)/('Modelo Atmosférico'!$B$12*'Modelo Atmosférico'!$B$13)))-1),0)</f>
        <v>0</v>
      </c>
      <c r="F87" s="8">
        <f t="shared" si="1"/>
        <v>0</v>
      </c>
    </row>
    <row r="88" spans="1:6" x14ac:dyDescent="0.25">
      <c r="A88" s="50"/>
      <c r="B88" s="5"/>
      <c r="C88" s="35"/>
      <c r="D88" s="3"/>
      <c r="E88" s="2">
        <f>IF(D88&lt;&gt;0,('Modelo Atmosférico'!$B$9/'Modelo Atmosférico'!$B$10)*((POWER(D88/'Modelo Atmosférico'!$B$14,(-'Modelo Atmosférico'!$B$11*'Modelo Atmosférico'!$B$10)/('Modelo Atmosférico'!$B$12*'Modelo Atmosférico'!$B$13)))-1),0)</f>
        <v>0</v>
      </c>
      <c r="F88" s="8">
        <f t="shared" si="1"/>
        <v>0</v>
      </c>
    </row>
    <row r="89" spans="1:6" x14ac:dyDescent="0.25">
      <c r="A89" s="50"/>
      <c r="B89" s="5"/>
      <c r="C89" s="35"/>
      <c r="D89" s="3"/>
      <c r="E89" s="2">
        <f>IF(D89&lt;&gt;0,('Modelo Atmosférico'!$B$9/'Modelo Atmosférico'!$B$10)*((POWER(D89/'Modelo Atmosférico'!$B$14,(-'Modelo Atmosférico'!$B$11*'Modelo Atmosférico'!$B$10)/('Modelo Atmosférico'!$B$12*'Modelo Atmosférico'!$B$13)))-1),0)</f>
        <v>0</v>
      </c>
      <c r="F89" s="8">
        <f t="shared" si="1"/>
        <v>0</v>
      </c>
    </row>
    <row r="90" spans="1:6" x14ac:dyDescent="0.25">
      <c r="A90" s="50"/>
      <c r="B90" s="5"/>
      <c r="C90" s="35"/>
      <c r="D90" s="3"/>
      <c r="E90" s="2">
        <f>IF(D90&lt;&gt;0,('Modelo Atmosférico'!$B$9/'Modelo Atmosférico'!$B$10)*((POWER(D90/'Modelo Atmosférico'!$B$14,(-'Modelo Atmosférico'!$B$11*'Modelo Atmosférico'!$B$10)/('Modelo Atmosférico'!$B$12*'Modelo Atmosférico'!$B$13)))-1),0)</f>
        <v>0</v>
      </c>
      <c r="F90" s="8">
        <f t="shared" si="1"/>
        <v>0</v>
      </c>
    </row>
    <row r="91" spans="1:6" x14ac:dyDescent="0.25">
      <c r="A91" s="50"/>
      <c r="B91" s="5"/>
      <c r="C91" s="35"/>
      <c r="D91" s="3"/>
      <c r="E91" s="2">
        <f>IF(D91&lt;&gt;0,('Modelo Atmosférico'!$B$9/'Modelo Atmosférico'!$B$10)*((POWER(D91/'Modelo Atmosférico'!$B$14,(-'Modelo Atmosférico'!$B$11*'Modelo Atmosférico'!$B$10)/('Modelo Atmosférico'!$B$12*'Modelo Atmosférico'!$B$13)))-1),0)</f>
        <v>0</v>
      </c>
      <c r="F91" s="8">
        <f t="shared" si="1"/>
        <v>0</v>
      </c>
    </row>
    <row r="92" spans="1:6" x14ac:dyDescent="0.25">
      <c r="A92" s="50"/>
      <c r="B92" s="5"/>
      <c r="C92" s="35"/>
      <c r="D92" s="3"/>
      <c r="E92" s="2">
        <f>IF(D92&lt;&gt;0,('Modelo Atmosférico'!$B$9/'Modelo Atmosférico'!$B$10)*((POWER(D92/'Modelo Atmosférico'!$B$14,(-'Modelo Atmosférico'!$B$11*'Modelo Atmosférico'!$B$10)/('Modelo Atmosférico'!$B$12*'Modelo Atmosférico'!$B$13)))-1),0)</f>
        <v>0</v>
      </c>
      <c r="F92" s="8">
        <f t="shared" si="1"/>
        <v>0</v>
      </c>
    </row>
    <row r="93" spans="1:6" x14ac:dyDescent="0.25">
      <c r="A93" s="50"/>
      <c r="B93" s="5"/>
      <c r="C93" s="35"/>
      <c r="D93" s="3"/>
      <c r="E93" s="2">
        <f>IF(D93&lt;&gt;0,('Modelo Atmosférico'!$B$9/'Modelo Atmosférico'!$B$10)*((POWER(D93/'Modelo Atmosférico'!$B$14,(-'Modelo Atmosférico'!$B$11*'Modelo Atmosférico'!$B$10)/('Modelo Atmosférico'!$B$12*'Modelo Atmosférico'!$B$13)))-1),0)</f>
        <v>0</v>
      </c>
      <c r="F93" s="8">
        <f t="shared" si="1"/>
        <v>0</v>
      </c>
    </row>
    <row r="94" spans="1:6" x14ac:dyDescent="0.25">
      <c r="A94" s="50"/>
      <c r="B94" s="5"/>
      <c r="C94" s="35"/>
      <c r="D94" s="3"/>
      <c r="E94" s="2">
        <f>IF(D94&lt;&gt;0,('Modelo Atmosférico'!$B$9/'Modelo Atmosférico'!$B$10)*((POWER(D94/'Modelo Atmosférico'!$B$14,(-'Modelo Atmosférico'!$B$11*'Modelo Atmosférico'!$B$10)/('Modelo Atmosférico'!$B$12*'Modelo Atmosférico'!$B$13)))-1),0)</f>
        <v>0</v>
      </c>
      <c r="F94" s="8">
        <f t="shared" si="1"/>
        <v>0</v>
      </c>
    </row>
    <row r="95" spans="1:6" x14ac:dyDescent="0.25">
      <c r="A95" s="50"/>
      <c r="B95" s="5"/>
      <c r="C95" s="35"/>
      <c r="D95" s="3"/>
      <c r="E95" s="2">
        <f>IF(D95&lt;&gt;0,('Modelo Atmosférico'!$B$9/'Modelo Atmosférico'!$B$10)*((POWER(D95/'Modelo Atmosférico'!$B$14,(-'Modelo Atmosférico'!$B$11*'Modelo Atmosférico'!$B$10)/('Modelo Atmosférico'!$B$12*'Modelo Atmosférico'!$B$13)))-1),0)</f>
        <v>0</v>
      </c>
      <c r="F95" s="8">
        <f t="shared" si="1"/>
        <v>0</v>
      </c>
    </row>
    <row r="96" spans="1:6" x14ac:dyDescent="0.25">
      <c r="A96" s="50"/>
      <c r="B96" s="5"/>
      <c r="C96" s="35"/>
      <c r="D96" s="3"/>
      <c r="E96" s="2">
        <f>IF(D96&lt;&gt;0,('Modelo Atmosférico'!$B$9/'Modelo Atmosférico'!$B$10)*((POWER(D96/'Modelo Atmosférico'!$B$14,(-'Modelo Atmosférico'!$B$11*'Modelo Atmosférico'!$B$10)/('Modelo Atmosférico'!$B$12*'Modelo Atmosférico'!$B$13)))-1),0)</f>
        <v>0</v>
      </c>
      <c r="F96" s="8">
        <f t="shared" si="1"/>
        <v>0</v>
      </c>
    </row>
    <row r="97" spans="1:6" x14ac:dyDescent="0.25">
      <c r="A97" s="50"/>
      <c r="B97" s="5"/>
      <c r="C97" s="35"/>
      <c r="D97" s="3"/>
      <c r="E97" s="2">
        <f>IF(D97&lt;&gt;0,('Modelo Atmosférico'!$B$9/'Modelo Atmosférico'!$B$10)*((POWER(D97/'Modelo Atmosférico'!$B$14,(-'Modelo Atmosférico'!$B$11*'Modelo Atmosférico'!$B$10)/('Modelo Atmosférico'!$B$12*'Modelo Atmosférico'!$B$13)))-1),0)</f>
        <v>0</v>
      </c>
      <c r="F97" s="8">
        <f t="shared" si="1"/>
        <v>0</v>
      </c>
    </row>
    <row r="98" spans="1:6" x14ac:dyDescent="0.25">
      <c r="A98" s="50"/>
      <c r="B98" s="5"/>
      <c r="C98" s="35"/>
      <c r="D98" s="3"/>
      <c r="E98" s="2">
        <f>IF(D98&lt;&gt;0,('Modelo Atmosférico'!$B$9/'Modelo Atmosférico'!$B$10)*((POWER(D98/'Modelo Atmosférico'!$B$14,(-'Modelo Atmosférico'!$B$11*'Modelo Atmosférico'!$B$10)/('Modelo Atmosférico'!$B$12*'Modelo Atmosférico'!$B$13)))-1),0)</f>
        <v>0</v>
      </c>
      <c r="F98" s="8">
        <f t="shared" si="1"/>
        <v>0</v>
      </c>
    </row>
    <row r="99" spans="1:6" x14ac:dyDescent="0.25">
      <c r="A99" s="50"/>
      <c r="B99" s="5"/>
      <c r="C99" s="35"/>
      <c r="D99" s="3"/>
      <c r="E99" s="2">
        <f>IF(D99&lt;&gt;0,('Modelo Atmosférico'!$B$9/'Modelo Atmosférico'!$B$10)*((POWER(D99/'Modelo Atmosférico'!$B$14,(-'Modelo Atmosférico'!$B$11*'Modelo Atmosférico'!$B$10)/('Modelo Atmosférico'!$B$12*'Modelo Atmosférico'!$B$13)))-1),0)</f>
        <v>0</v>
      </c>
      <c r="F99" s="8">
        <f t="shared" ref="F99:F162" si="2">IF(D99&lt;&gt;0,E99-$E$3,0)</f>
        <v>0</v>
      </c>
    </row>
    <row r="100" spans="1:6" x14ac:dyDescent="0.25">
      <c r="A100" s="50"/>
      <c r="B100" s="5"/>
      <c r="C100" s="35"/>
      <c r="D100" s="3"/>
      <c r="E100" s="2">
        <f>IF(D100&lt;&gt;0,('Modelo Atmosférico'!$B$9/'Modelo Atmosférico'!$B$10)*((POWER(D100/'Modelo Atmosférico'!$B$14,(-'Modelo Atmosférico'!$B$11*'Modelo Atmosférico'!$B$10)/('Modelo Atmosférico'!$B$12*'Modelo Atmosférico'!$B$13)))-1),0)</f>
        <v>0</v>
      </c>
      <c r="F100" s="8">
        <f t="shared" si="2"/>
        <v>0</v>
      </c>
    </row>
    <row r="101" spans="1:6" x14ac:dyDescent="0.25">
      <c r="A101" s="50"/>
      <c r="B101" s="5"/>
      <c r="C101" s="35"/>
      <c r="D101" s="3"/>
      <c r="E101" s="2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8">
        <f t="shared" si="2"/>
        <v>0</v>
      </c>
    </row>
    <row r="102" spans="1:6" x14ac:dyDescent="0.25">
      <c r="A102" s="50"/>
      <c r="B102" s="5"/>
      <c r="C102" s="35"/>
      <c r="D102" s="3"/>
      <c r="E102" s="2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8">
        <f t="shared" si="2"/>
        <v>0</v>
      </c>
    </row>
    <row r="103" spans="1:6" x14ac:dyDescent="0.25">
      <c r="A103" s="50"/>
      <c r="B103" s="5"/>
      <c r="C103" s="35"/>
      <c r="D103" s="3"/>
      <c r="E103" s="2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8">
        <f t="shared" si="2"/>
        <v>0</v>
      </c>
    </row>
    <row r="104" spans="1:6" x14ac:dyDescent="0.25">
      <c r="A104" s="50"/>
      <c r="B104" s="5"/>
      <c r="C104" s="35"/>
      <c r="D104" s="3"/>
      <c r="E104" s="2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8">
        <f t="shared" si="2"/>
        <v>0</v>
      </c>
    </row>
    <row r="105" spans="1:6" x14ac:dyDescent="0.25">
      <c r="A105" s="50"/>
      <c r="B105" s="5"/>
      <c r="C105" s="35"/>
      <c r="D105" s="3"/>
      <c r="E105" s="2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8">
        <f t="shared" si="2"/>
        <v>0</v>
      </c>
    </row>
    <row r="106" spans="1:6" x14ac:dyDescent="0.25">
      <c r="A106" s="50"/>
      <c r="B106" s="5"/>
      <c r="C106" s="35"/>
      <c r="D106" s="3"/>
      <c r="E106" s="2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8">
        <f t="shared" si="2"/>
        <v>0</v>
      </c>
    </row>
    <row r="107" spans="1:6" x14ac:dyDescent="0.25">
      <c r="A107" s="50"/>
      <c r="B107" s="5"/>
      <c r="C107" s="35"/>
      <c r="D107" s="3"/>
      <c r="E107" s="2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8">
        <f t="shared" si="2"/>
        <v>0</v>
      </c>
    </row>
    <row r="108" spans="1:6" x14ac:dyDescent="0.25">
      <c r="A108" s="50"/>
      <c r="B108" s="5"/>
      <c r="C108" s="35"/>
      <c r="D108" s="3"/>
      <c r="E108" s="2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8">
        <f t="shared" si="2"/>
        <v>0</v>
      </c>
    </row>
    <row r="109" spans="1:6" x14ac:dyDescent="0.25">
      <c r="A109" s="50"/>
      <c r="B109" s="5"/>
      <c r="C109" s="35"/>
      <c r="D109" s="3"/>
      <c r="E109" s="2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8">
        <f t="shared" si="2"/>
        <v>0</v>
      </c>
    </row>
    <row r="110" spans="1:6" x14ac:dyDescent="0.25">
      <c r="A110" s="50"/>
      <c r="B110" s="5"/>
      <c r="C110" s="35"/>
      <c r="D110" s="3"/>
      <c r="E110" s="2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8">
        <f t="shared" si="2"/>
        <v>0</v>
      </c>
    </row>
    <row r="111" spans="1:6" x14ac:dyDescent="0.25">
      <c r="A111" s="50"/>
      <c r="B111" s="5"/>
      <c r="C111" s="35"/>
      <c r="D111" s="3"/>
      <c r="E111" s="2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8">
        <f t="shared" si="2"/>
        <v>0</v>
      </c>
    </row>
    <row r="112" spans="1:6" x14ac:dyDescent="0.25">
      <c r="A112" s="50"/>
      <c r="B112" s="5"/>
      <c r="C112" s="35"/>
      <c r="D112" s="3"/>
      <c r="E112" s="2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8">
        <f t="shared" si="2"/>
        <v>0</v>
      </c>
    </row>
    <row r="113" spans="1:6" x14ac:dyDescent="0.25">
      <c r="A113" s="50"/>
      <c r="B113" s="5"/>
      <c r="C113" s="35"/>
      <c r="D113" s="3"/>
      <c r="E113" s="2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8">
        <f t="shared" si="2"/>
        <v>0</v>
      </c>
    </row>
    <row r="114" spans="1:6" x14ac:dyDescent="0.25">
      <c r="A114" s="50"/>
      <c r="B114" s="5"/>
      <c r="C114" s="35"/>
      <c r="D114" s="3"/>
      <c r="E114" s="2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8">
        <f t="shared" si="2"/>
        <v>0</v>
      </c>
    </row>
    <row r="115" spans="1:6" x14ac:dyDescent="0.25">
      <c r="A115" s="50"/>
      <c r="B115" s="5"/>
      <c r="C115" s="35"/>
      <c r="D115" s="3"/>
      <c r="E115" s="2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8">
        <f t="shared" si="2"/>
        <v>0</v>
      </c>
    </row>
    <row r="116" spans="1:6" x14ac:dyDescent="0.25">
      <c r="A116" s="50"/>
      <c r="B116" s="5"/>
      <c r="C116" s="35"/>
      <c r="D116" s="3"/>
      <c r="E116" s="2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8">
        <f t="shared" si="2"/>
        <v>0</v>
      </c>
    </row>
    <row r="117" spans="1:6" x14ac:dyDescent="0.25">
      <c r="A117" s="50"/>
      <c r="B117" s="5"/>
      <c r="C117" s="35"/>
      <c r="D117" s="3"/>
      <c r="E117" s="2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8">
        <f t="shared" si="2"/>
        <v>0</v>
      </c>
    </row>
    <row r="118" spans="1:6" x14ac:dyDescent="0.25">
      <c r="A118" s="50"/>
      <c r="B118" s="5"/>
      <c r="C118" s="35"/>
      <c r="D118" s="3"/>
      <c r="E118" s="2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8">
        <f t="shared" si="2"/>
        <v>0</v>
      </c>
    </row>
    <row r="119" spans="1:6" x14ac:dyDescent="0.25">
      <c r="A119" s="50"/>
      <c r="B119" s="5"/>
      <c r="C119" s="35"/>
      <c r="D119" s="3"/>
      <c r="E119" s="2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8">
        <f t="shared" si="2"/>
        <v>0</v>
      </c>
    </row>
    <row r="120" spans="1:6" x14ac:dyDescent="0.25">
      <c r="A120" s="50"/>
      <c r="B120" s="5"/>
      <c r="C120" s="35"/>
      <c r="D120" s="3"/>
      <c r="E120" s="2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8">
        <f t="shared" si="2"/>
        <v>0</v>
      </c>
    </row>
    <row r="121" spans="1:6" x14ac:dyDescent="0.25">
      <c r="A121" s="50"/>
      <c r="B121" s="5"/>
      <c r="C121" s="35"/>
      <c r="D121" s="3"/>
      <c r="E121" s="2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8">
        <f t="shared" si="2"/>
        <v>0</v>
      </c>
    </row>
    <row r="122" spans="1:6" x14ac:dyDescent="0.25">
      <c r="A122" s="50"/>
      <c r="B122" s="5"/>
      <c r="C122" s="35"/>
      <c r="D122" s="3"/>
      <c r="E122" s="2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8">
        <f t="shared" si="2"/>
        <v>0</v>
      </c>
    </row>
    <row r="123" spans="1:6" x14ac:dyDescent="0.25">
      <c r="A123" s="50"/>
      <c r="B123" s="5"/>
      <c r="C123" s="35"/>
      <c r="D123" s="3"/>
      <c r="E123" s="2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8">
        <f t="shared" si="2"/>
        <v>0</v>
      </c>
    </row>
    <row r="124" spans="1:6" x14ac:dyDescent="0.25">
      <c r="A124" s="50"/>
      <c r="B124" s="5"/>
      <c r="C124" s="35"/>
      <c r="D124" s="3"/>
      <c r="E124" s="2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8">
        <f t="shared" si="2"/>
        <v>0</v>
      </c>
    </row>
    <row r="125" spans="1:6" x14ac:dyDescent="0.25">
      <c r="A125" s="50"/>
      <c r="B125" s="5"/>
      <c r="C125" s="35"/>
      <c r="D125" s="3"/>
      <c r="E125" s="2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8">
        <f t="shared" si="2"/>
        <v>0</v>
      </c>
    </row>
    <row r="126" spans="1:6" x14ac:dyDescent="0.25">
      <c r="A126" s="50"/>
      <c r="B126" s="5"/>
      <c r="C126" s="35"/>
      <c r="D126" s="3"/>
      <c r="E126" s="2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8">
        <f t="shared" si="2"/>
        <v>0</v>
      </c>
    </row>
    <row r="127" spans="1:6" x14ac:dyDescent="0.25">
      <c r="A127" s="50"/>
      <c r="B127" s="5"/>
      <c r="C127" s="35"/>
      <c r="D127" s="3"/>
      <c r="E127" s="2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8">
        <f t="shared" si="2"/>
        <v>0</v>
      </c>
    </row>
    <row r="128" spans="1:6" x14ac:dyDescent="0.25">
      <c r="A128" s="50"/>
      <c r="B128" s="5"/>
      <c r="C128" s="35"/>
      <c r="D128" s="3"/>
      <c r="E128" s="2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8">
        <f t="shared" si="2"/>
        <v>0</v>
      </c>
    </row>
    <row r="129" spans="1:6" x14ac:dyDescent="0.25">
      <c r="A129" s="50"/>
      <c r="B129" s="5"/>
      <c r="C129" s="35"/>
      <c r="D129" s="3"/>
      <c r="E129" s="2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8">
        <f t="shared" si="2"/>
        <v>0</v>
      </c>
    </row>
    <row r="130" spans="1:6" x14ac:dyDescent="0.25">
      <c r="A130" s="50"/>
      <c r="B130" s="5"/>
      <c r="C130" s="35"/>
      <c r="D130" s="3"/>
      <c r="E130" s="2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8">
        <f t="shared" si="2"/>
        <v>0</v>
      </c>
    </row>
    <row r="131" spans="1:6" x14ac:dyDescent="0.25">
      <c r="A131" s="50"/>
      <c r="B131" s="5"/>
      <c r="C131" s="35"/>
      <c r="D131" s="3"/>
      <c r="E131" s="2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8">
        <f t="shared" si="2"/>
        <v>0</v>
      </c>
    </row>
    <row r="132" spans="1:6" x14ac:dyDescent="0.25">
      <c r="A132" s="50"/>
      <c r="B132" s="5"/>
      <c r="C132" s="35"/>
      <c r="D132" s="3"/>
      <c r="E132" s="2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8">
        <f t="shared" si="2"/>
        <v>0</v>
      </c>
    </row>
    <row r="133" spans="1:6" x14ac:dyDescent="0.25">
      <c r="A133" s="50"/>
      <c r="B133" s="5"/>
      <c r="C133" s="35"/>
      <c r="D133" s="3"/>
      <c r="E133" s="2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8">
        <f t="shared" si="2"/>
        <v>0</v>
      </c>
    </row>
    <row r="134" spans="1:6" x14ac:dyDescent="0.25">
      <c r="A134" s="50"/>
      <c r="B134" s="5"/>
      <c r="C134" s="35"/>
      <c r="D134" s="3"/>
      <c r="E134" s="2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8">
        <f t="shared" si="2"/>
        <v>0</v>
      </c>
    </row>
    <row r="135" spans="1:6" x14ac:dyDescent="0.25">
      <c r="A135" s="50"/>
      <c r="B135" s="5"/>
      <c r="C135" s="35"/>
      <c r="D135" s="3"/>
      <c r="E135" s="2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8">
        <f t="shared" si="2"/>
        <v>0</v>
      </c>
    </row>
    <row r="136" spans="1:6" x14ac:dyDescent="0.25">
      <c r="A136" s="50"/>
      <c r="B136" s="5"/>
      <c r="C136" s="35"/>
      <c r="D136" s="3"/>
      <c r="E136" s="2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8">
        <f t="shared" si="2"/>
        <v>0</v>
      </c>
    </row>
    <row r="137" spans="1:6" x14ac:dyDescent="0.25">
      <c r="A137" s="50"/>
      <c r="B137" s="5"/>
      <c r="C137" s="35"/>
      <c r="D137" s="3"/>
      <c r="E137" s="2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8">
        <f t="shared" si="2"/>
        <v>0</v>
      </c>
    </row>
    <row r="138" spans="1:6" x14ac:dyDescent="0.25">
      <c r="A138" s="50"/>
      <c r="B138" s="5"/>
      <c r="C138" s="35"/>
      <c r="D138" s="3"/>
      <c r="E138" s="2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8">
        <f t="shared" si="2"/>
        <v>0</v>
      </c>
    </row>
    <row r="139" spans="1:6" x14ac:dyDescent="0.25">
      <c r="A139" s="50"/>
      <c r="B139" s="5"/>
      <c r="C139" s="35"/>
      <c r="D139" s="3"/>
      <c r="E139" s="2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8">
        <f t="shared" si="2"/>
        <v>0</v>
      </c>
    </row>
    <row r="140" spans="1:6" x14ac:dyDescent="0.25">
      <c r="A140" s="50"/>
      <c r="B140" s="5"/>
      <c r="C140" s="35"/>
      <c r="D140" s="3"/>
      <c r="E140" s="2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8">
        <f t="shared" si="2"/>
        <v>0</v>
      </c>
    </row>
    <row r="141" spans="1:6" x14ac:dyDescent="0.25">
      <c r="A141" s="50"/>
      <c r="B141" s="5"/>
      <c r="C141" s="35"/>
      <c r="D141" s="3"/>
      <c r="E141" s="2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8">
        <f t="shared" si="2"/>
        <v>0</v>
      </c>
    </row>
    <row r="142" spans="1:6" x14ac:dyDescent="0.25">
      <c r="A142" s="50"/>
      <c r="B142" s="5"/>
      <c r="C142" s="35"/>
      <c r="D142" s="3"/>
      <c r="E142" s="2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8">
        <f t="shared" si="2"/>
        <v>0</v>
      </c>
    </row>
    <row r="143" spans="1:6" x14ac:dyDescent="0.25">
      <c r="A143" s="50"/>
      <c r="B143" s="5"/>
      <c r="C143" s="35"/>
      <c r="D143" s="3"/>
      <c r="E143" s="2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8">
        <f t="shared" si="2"/>
        <v>0</v>
      </c>
    </row>
    <row r="144" spans="1:6" x14ac:dyDescent="0.25">
      <c r="A144" s="50"/>
      <c r="B144" s="5"/>
      <c r="C144" s="35"/>
      <c r="D144" s="3"/>
      <c r="E144" s="2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8">
        <f t="shared" si="2"/>
        <v>0</v>
      </c>
    </row>
    <row r="145" spans="1:6" x14ac:dyDescent="0.25">
      <c r="A145" s="50"/>
      <c r="B145" s="5"/>
      <c r="C145" s="35"/>
      <c r="D145" s="3"/>
      <c r="E145" s="2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8">
        <f t="shared" si="2"/>
        <v>0</v>
      </c>
    </row>
    <row r="146" spans="1:6" x14ac:dyDescent="0.25">
      <c r="A146" s="50"/>
      <c r="B146" s="5"/>
      <c r="C146" s="35"/>
      <c r="D146" s="3"/>
      <c r="E146" s="2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8">
        <f t="shared" si="2"/>
        <v>0</v>
      </c>
    </row>
    <row r="147" spans="1:6" x14ac:dyDescent="0.25">
      <c r="A147" s="50"/>
      <c r="B147" s="5"/>
      <c r="C147" s="35"/>
      <c r="D147" s="3"/>
      <c r="E147" s="2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8">
        <f t="shared" si="2"/>
        <v>0</v>
      </c>
    </row>
    <row r="148" spans="1:6" x14ac:dyDescent="0.25">
      <c r="A148" s="50"/>
      <c r="B148" s="5"/>
      <c r="C148" s="35"/>
      <c r="D148" s="3"/>
      <c r="E148" s="2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8">
        <f t="shared" si="2"/>
        <v>0</v>
      </c>
    </row>
    <row r="149" spans="1:6" x14ac:dyDescent="0.25">
      <c r="A149" s="50"/>
      <c r="B149" s="5"/>
      <c r="C149" s="35"/>
      <c r="D149" s="3"/>
      <c r="E149" s="2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8">
        <f t="shared" si="2"/>
        <v>0</v>
      </c>
    </row>
    <row r="150" spans="1:6" x14ac:dyDescent="0.25">
      <c r="A150" s="50"/>
      <c r="B150" s="5"/>
      <c r="C150" s="35"/>
      <c r="D150" s="3"/>
      <c r="E150" s="2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8">
        <f t="shared" si="2"/>
        <v>0</v>
      </c>
    </row>
    <row r="151" spans="1:6" x14ac:dyDescent="0.25">
      <c r="A151" s="50"/>
      <c r="B151" s="5"/>
      <c r="C151" s="35"/>
      <c r="D151" s="3"/>
      <c r="E151" s="2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8">
        <f t="shared" si="2"/>
        <v>0</v>
      </c>
    </row>
    <row r="152" spans="1:6" x14ac:dyDescent="0.25">
      <c r="A152" s="50"/>
      <c r="B152" s="5"/>
      <c r="C152" s="35"/>
      <c r="D152" s="3"/>
      <c r="E152" s="2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8">
        <f t="shared" si="2"/>
        <v>0</v>
      </c>
    </row>
    <row r="153" spans="1:6" x14ac:dyDescent="0.25">
      <c r="A153" s="50"/>
      <c r="B153" s="5"/>
      <c r="C153" s="35"/>
      <c r="D153" s="3"/>
      <c r="E153" s="2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8">
        <f t="shared" si="2"/>
        <v>0</v>
      </c>
    </row>
    <row r="154" spans="1:6" x14ac:dyDescent="0.25">
      <c r="A154" s="50"/>
      <c r="B154" s="5"/>
      <c r="C154" s="35"/>
      <c r="D154" s="3"/>
      <c r="E154" s="2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8">
        <f t="shared" si="2"/>
        <v>0</v>
      </c>
    </row>
    <row r="155" spans="1:6" x14ac:dyDescent="0.25">
      <c r="A155" s="50"/>
      <c r="B155" s="5"/>
      <c r="C155" s="35"/>
      <c r="D155" s="3"/>
      <c r="E155" s="2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8">
        <f t="shared" si="2"/>
        <v>0</v>
      </c>
    </row>
    <row r="156" spans="1:6" x14ac:dyDescent="0.25">
      <c r="A156" s="50"/>
      <c r="B156" s="5"/>
      <c r="C156" s="35"/>
      <c r="D156" s="3"/>
      <c r="E156" s="2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8">
        <f t="shared" si="2"/>
        <v>0</v>
      </c>
    </row>
    <row r="157" spans="1:6" x14ac:dyDescent="0.25">
      <c r="A157" s="50"/>
      <c r="B157" s="5"/>
      <c r="C157" s="35"/>
      <c r="D157" s="3"/>
      <c r="E157" s="2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8">
        <f t="shared" si="2"/>
        <v>0</v>
      </c>
    </row>
    <row r="158" spans="1:6" x14ac:dyDescent="0.25">
      <c r="A158" s="50"/>
      <c r="B158" s="5"/>
      <c r="C158" s="35"/>
      <c r="D158" s="3"/>
      <c r="E158" s="2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8">
        <f t="shared" si="2"/>
        <v>0</v>
      </c>
    </row>
    <row r="159" spans="1:6" x14ac:dyDescent="0.25">
      <c r="A159" s="50"/>
      <c r="B159" s="5"/>
      <c r="C159" s="35"/>
      <c r="D159" s="3"/>
      <c r="E159" s="2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8">
        <f t="shared" si="2"/>
        <v>0</v>
      </c>
    </row>
    <row r="160" spans="1:6" x14ac:dyDescent="0.25">
      <c r="A160" s="50"/>
      <c r="B160" s="5"/>
      <c r="C160" s="35"/>
      <c r="D160" s="3"/>
      <c r="E160" s="2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8">
        <f t="shared" si="2"/>
        <v>0</v>
      </c>
    </row>
    <row r="161" spans="1:6" x14ac:dyDescent="0.25">
      <c r="A161" s="50"/>
      <c r="B161" s="5"/>
      <c r="C161" s="35"/>
      <c r="D161" s="3"/>
      <c r="E161" s="2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8">
        <f t="shared" si="2"/>
        <v>0</v>
      </c>
    </row>
    <row r="162" spans="1:6" x14ac:dyDescent="0.25">
      <c r="A162" s="50"/>
      <c r="B162" s="5"/>
      <c r="C162" s="35"/>
      <c r="D162" s="3"/>
      <c r="E162" s="2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8">
        <f t="shared" si="2"/>
        <v>0</v>
      </c>
    </row>
    <row r="163" spans="1:6" x14ac:dyDescent="0.25">
      <c r="A163" s="50"/>
      <c r="B163" s="5"/>
      <c r="C163" s="35"/>
      <c r="D163" s="3"/>
      <c r="E163" s="2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8">
        <f t="shared" ref="F163:F226" si="3">IF(D163&lt;&gt;0,E163-$E$3,0)</f>
        <v>0</v>
      </c>
    </row>
    <row r="164" spans="1:6" x14ac:dyDescent="0.25">
      <c r="A164" s="50"/>
      <c r="B164" s="5"/>
      <c r="C164" s="35"/>
      <c r="D164" s="3"/>
      <c r="E164" s="2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8">
        <f t="shared" si="3"/>
        <v>0</v>
      </c>
    </row>
    <row r="165" spans="1:6" x14ac:dyDescent="0.25">
      <c r="A165" s="50"/>
      <c r="B165" s="5"/>
      <c r="C165" s="35"/>
      <c r="D165" s="3"/>
      <c r="E165" s="2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8">
        <f t="shared" si="3"/>
        <v>0</v>
      </c>
    </row>
    <row r="166" spans="1:6" x14ac:dyDescent="0.25">
      <c r="A166" s="50"/>
      <c r="B166" s="5"/>
      <c r="C166" s="35"/>
      <c r="D166" s="3"/>
      <c r="E166" s="2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8">
        <f t="shared" si="3"/>
        <v>0</v>
      </c>
    </row>
    <row r="167" spans="1:6" x14ac:dyDescent="0.25">
      <c r="A167" s="50"/>
      <c r="B167" s="5"/>
      <c r="C167" s="35"/>
      <c r="D167" s="3"/>
      <c r="E167" s="2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8">
        <f t="shared" si="3"/>
        <v>0</v>
      </c>
    </row>
    <row r="168" spans="1:6" x14ac:dyDescent="0.25">
      <c r="A168" s="50"/>
      <c r="B168" s="5"/>
      <c r="C168" s="35"/>
      <c r="D168" s="3"/>
      <c r="E168" s="2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8">
        <f t="shared" si="3"/>
        <v>0</v>
      </c>
    </row>
    <row r="169" spans="1:6" x14ac:dyDescent="0.25">
      <c r="A169" s="50"/>
      <c r="B169" s="5"/>
      <c r="C169" s="35"/>
      <c r="D169" s="3"/>
      <c r="E169" s="2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8">
        <f t="shared" si="3"/>
        <v>0</v>
      </c>
    </row>
    <row r="170" spans="1:6" x14ac:dyDescent="0.25">
      <c r="A170" s="50"/>
      <c r="B170" s="5"/>
      <c r="C170" s="35"/>
      <c r="D170" s="3"/>
      <c r="E170" s="2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8">
        <f t="shared" si="3"/>
        <v>0</v>
      </c>
    </row>
    <row r="171" spans="1:6" x14ac:dyDescent="0.25">
      <c r="A171" s="50"/>
      <c r="B171" s="5"/>
      <c r="C171" s="35"/>
      <c r="D171" s="3"/>
      <c r="E171" s="2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8">
        <f t="shared" si="3"/>
        <v>0</v>
      </c>
    </row>
    <row r="172" spans="1:6" x14ac:dyDescent="0.25">
      <c r="A172" s="50"/>
      <c r="B172" s="5"/>
      <c r="C172" s="35"/>
      <c r="D172" s="3"/>
      <c r="E172" s="2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8">
        <f t="shared" si="3"/>
        <v>0</v>
      </c>
    </row>
    <row r="173" spans="1:6" x14ac:dyDescent="0.25">
      <c r="A173" s="50"/>
      <c r="B173" s="5"/>
      <c r="C173" s="35"/>
      <c r="D173" s="3"/>
      <c r="E173" s="2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8">
        <f t="shared" si="3"/>
        <v>0</v>
      </c>
    </row>
    <row r="174" spans="1:6" x14ac:dyDescent="0.25">
      <c r="A174" s="50"/>
      <c r="B174" s="5"/>
      <c r="C174" s="35"/>
      <c r="D174" s="3"/>
      <c r="E174" s="2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8">
        <f t="shared" si="3"/>
        <v>0</v>
      </c>
    </row>
    <row r="175" spans="1:6" x14ac:dyDescent="0.25">
      <c r="A175" s="50"/>
      <c r="B175" s="5"/>
      <c r="C175" s="35"/>
      <c r="D175" s="3"/>
      <c r="E175" s="2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8">
        <f t="shared" si="3"/>
        <v>0</v>
      </c>
    </row>
    <row r="176" spans="1:6" x14ac:dyDescent="0.25">
      <c r="A176" s="50"/>
      <c r="B176" s="5"/>
      <c r="C176" s="35"/>
      <c r="D176" s="3"/>
      <c r="E176" s="2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8">
        <f t="shared" si="3"/>
        <v>0</v>
      </c>
    </row>
    <row r="177" spans="1:6" x14ac:dyDescent="0.25">
      <c r="A177" s="50"/>
      <c r="B177" s="5"/>
      <c r="C177" s="35"/>
      <c r="D177" s="3"/>
      <c r="E177" s="2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8">
        <f t="shared" si="3"/>
        <v>0</v>
      </c>
    </row>
    <row r="178" spans="1:6" x14ac:dyDescent="0.25">
      <c r="A178" s="50"/>
      <c r="B178" s="5"/>
      <c r="C178" s="35"/>
      <c r="D178" s="3"/>
      <c r="E178" s="2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8">
        <f t="shared" si="3"/>
        <v>0</v>
      </c>
    </row>
    <row r="179" spans="1:6" x14ac:dyDescent="0.25">
      <c r="A179" s="50"/>
      <c r="B179" s="5"/>
      <c r="C179" s="35"/>
      <c r="D179" s="3"/>
      <c r="E179" s="2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8">
        <f t="shared" si="3"/>
        <v>0</v>
      </c>
    </row>
    <row r="180" spans="1:6" x14ac:dyDescent="0.25">
      <c r="A180" s="50"/>
      <c r="B180" s="5"/>
      <c r="C180" s="35"/>
      <c r="D180" s="3"/>
      <c r="E180" s="2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8">
        <f t="shared" si="3"/>
        <v>0</v>
      </c>
    </row>
    <row r="181" spans="1:6" x14ac:dyDescent="0.25">
      <c r="A181" s="50"/>
      <c r="B181" s="5"/>
      <c r="C181" s="35"/>
      <c r="D181" s="3"/>
      <c r="E181" s="2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8">
        <f t="shared" si="3"/>
        <v>0</v>
      </c>
    </row>
    <row r="182" spans="1:6" x14ac:dyDescent="0.25">
      <c r="A182" s="50"/>
      <c r="B182" s="5"/>
      <c r="C182" s="35"/>
      <c r="D182" s="3"/>
      <c r="E182" s="2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8">
        <f t="shared" si="3"/>
        <v>0</v>
      </c>
    </row>
    <row r="183" spans="1:6" x14ac:dyDescent="0.25">
      <c r="A183" s="50"/>
      <c r="B183" s="5"/>
      <c r="C183" s="35"/>
      <c r="D183" s="3"/>
      <c r="E183" s="2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8">
        <f t="shared" si="3"/>
        <v>0</v>
      </c>
    </row>
    <row r="184" spans="1:6" x14ac:dyDescent="0.25">
      <c r="A184" s="50"/>
      <c r="B184" s="5"/>
      <c r="C184" s="35"/>
      <c r="D184" s="3"/>
      <c r="E184" s="2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8">
        <f t="shared" si="3"/>
        <v>0</v>
      </c>
    </row>
    <row r="185" spans="1:6" x14ac:dyDescent="0.25">
      <c r="A185" s="50"/>
      <c r="B185" s="5"/>
      <c r="C185" s="35"/>
      <c r="D185" s="3"/>
      <c r="E185" s="2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8">
        <f t="shared" si="3"/>
        <v>0</v>
      </c>
    </row>
    <row r="186" spans="1:6" x14ac:dyDescent="0.25">
      <c r="A186" s="50"/>
      <c r="B186" s="5"/>
      <c r="C186" s="35"/>
      <c r="D186" s="3"/>
      <c r="E186" s="2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8">
        <f t="shared" si="3"/>
        <v>0</v>
      </c>
    </row>
    <row r="187" spans="1:6" x14ac:dyDescent="0.25">
      <c r="A187" s="50"/>
      <c r="B187" s="5"/>
      <c r="C187" s="35"/>
      <c r="D187" s="3"/>
      <c r="E187" s="2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8">
        <f t="shared" si="3"/>
        <v>0</v>
      </c>
    </row>
    <row r="188" spans="1:6" x14ac:dyDescent="0.25">
      <c r="A188" s="50"/>
      <c r="B188" s="5"/>
      <c r="C188" s="35"/>
      <c r="D188" s="3"/>
      <c r="E188" s="2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8">
        <f t="shared" si="3"/>
        <v>0</v>
      </c>
    </row>
    <row r="189" spans="1:6" x14ac:dyDescent="0.25">
      <c r="A189" s="50"/>
      <c r="B189" s="5"/>
      <c r="C189" s="35"/>
      <c r="D189" s="3"/>
      <c r="E189" s="2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8">
        <f t="shared" si="3"/>
        <v>0</v>
      </c>
    </row>
    <row r="190" spans="1:6" x14ac:dyDescent="0.25">
      <c r="A190" s="50"/>
      <c r="B190" s="5"/>
      <c r="C190" s="35"/>
      <c r="D190" s="3"/>
      <c r="E190" s="2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8">
        <f t="shared" si="3"/>
        <v>0</v>
      </c>
    </row>
    <row r="191" spans="1:6" x14ac:dyDescent="0.25">
      <c r="A191" s="50"/>
      <c r="B191" s="5"/>
      <c r="C191" s="35"/>
      <c r="D191" s="3"/>
      <c r="E191" s="2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8">
        <f t="shared" si="3"/>
        <v>0</v>
      </c>
    </row>
    <row r="192" spans="1:6" x14ac:dyDescent="0.25">
      <c r="A192" s="50"/>
      <c r="B192" s="5"/>
      <c r="C192" s="35"/>
      <c r="D192" s="3"/>
      <c r="E192" s="2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8">
        <f t="shared" si="3"/>
        <v>0</v>
      </c>
    </row>
    <row r="193" spans="1:6" x14ac:dyDescent="0.25">
      <c r="A193" s="50"/>
      <c r="B193" s="5"/>
      <c r="C193" s="35"/>
      <c r="D193" s="3"/>
      <c r="E193" s="2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8">
        <f t="shared" si="3"/>
        <v>0</v>
      </c>
    </row>
    <row r="194" spans="1:6" x14ac:dyDescent="0.25">
      <c r="A194" s="50"/>
      <c r="B194" s="5"/>
      <c r="C194" s="35"/>
      <c r="D194" s="3"/>
      <c r="E194" s="2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8">
        <f t="shared" si="3"/>
        <v>0</v>
      </c>
    </row>
    <row r="195" spans="1:6" x14ac:dyDescent="0.25">
      <c r="A195" s="50"/>
      <c r="B195" s="5"/>
      <c r="C195" s="35"/>
      <c r="D195" s="3"/>
      <c r="E195" s="2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8">
        <f t="shared" si="3"/>
        <v>0</v>
      </c>
    </row>
    <row r="196" spans="1:6" x14ac:dyDescent="0.25">
      <c r="A196" s="50"/>
      <c r="B196" s="5"/>
      <c r="C196" s="35"/>
      <c r="D196" s="3"/>
      <c r="E196" s="2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8">
        <f t="shared" si="3"/>
        <v>0</v>
      </c>
    </row>
    <row r="197" spans="1:6" x14ac:dyDescent="0.25">
      <c r="A197" s="50"/>
      <c r="B197" s="5"/>
      <c r="C197" s="35"/>
      <c r="D197" s="3"/>
      <c r="E197" s="2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8">
        <f t="shared" si="3"/>
        <v>0</v>
      </c>
    </row>
    <row r="198" spans="1:6" x14ac:dyDescent="0.25">
      <c r="A198" s="50"/>
      <c r="B198" s="5"/>
      <c r="C198" s="35"/>
      <c r="D198" s="3"/>
      <c r="E198" s="2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8">
        <f t="shared" si="3"/>
        <v>0</v>
      </c>
    </row>
    <row r="199" spans="1:6" x14ac:dyDescent="0.25">
      <c r="A199" s="50"/>
      <c r="B199" s="5"/>
      <c r="C199" s="35"/>
      <c r="D199" s="3"/>
      <c r="E199" s="2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8">
        <f t="shared" si="3"/>
        <v>0</v>
      </c>
    </row>
    <row r="200" spans="1:6" x14ac:dyDescent="0.25">
      <c r="A200" s="50"/>
      <c r="B200" s="5"/>
      <c r="C200" s="35"/>
      <c r="D200" s="3"/>
      <c r="E200" s="2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8">
        <f t="shared" si="3"/>
        <v>0</v>
      </c>
    </row>
    <row r="201" spans="1:6" x14ac:dyDescent="0.25">
      <c r="A201" s="50"/>
      <c r="B201" s="5"/>
      <c r="C201" s="35"/>
      <c r="D201" s="3"/>
      <c r="E201" s="2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8">
        <f t="shared" si="3"/>
        <v>0</v>
      </c>
    </row>
    <row r="202" spans="1:6" x14ac:dyDescent="0.25">
      <c r="A202" s="50"/>
      <c r="B202" s="5"/>
      <c r="C202" s="35"/>
      <c r="D202" s="3"/>
      <c r="E202" s="2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8">
        <f t="shared" si="3"/>
        <v>0</v>
      </c>
    </row>
    <row r="203" spans="1:6" x14ac:dyDescent="0.25">
      <c r="A203" s="50"/>
      <c r="B203" s="5"/>
      <c r="C203" s="35"/>
      <c r="D203" s="3"/>
      <c r="E203" s="2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8">
        <f t="shared" si="3"/>
        <v>0</v>
      </c>
    </row>
    <row r="204" spans="1:6" x14ac:dyDescent="0.25">
      <c r="A204" s="50"/>
      <c r="B204" s="5"/>
      <c r="C204" s="35"/>
      <c r="D204" s="3"/>
      <c r="E204" s="2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8">
        <f t="shared" si="3"/>
        <v>0</v>
      </c>
    </row>
    <row r="205" spans="1:6" x14ac:dyDescent="0.25">
      <c r="A205" s="50"/>
      <c r="B205" s="5"/>
      <c r="C205" s="35"/>
      <c r="D205" s="3"/>
      <c r="E205" s="2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8">
        <f t="shared" si="3"/>
        <v>0</v>
      </c>
    </row>
    <row r="206" spans="1:6" x14ac:dyDescent="0.25">
      <c r="A206" s="50"/>
      <c r="B206" s="5"/>
      <c r="C206" s="35"/>
      <c r="D206" s="3"/>
      <c r="E206" s="2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8">
        <f t="shared" si="3"/>
        <v>0</v>
      </c>
    </row>
    <row r="207" spans="1:6" x14ac:dyDescent="0.25">
      <c r="A207" s="50"/>
      <c r="B207" s="5"/>
      <c r="C207" s="35"/>
      <c r="D207" s="3"/>
      <c r="E207" s="2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8">
        <f t="shared" si="3"/>
        <v>0</v>
      </c>
    </row>
    <row r="208" spans="1:6" x14ac:dyDescent="0.25">
      <c r="A208" s="50"/>
      <c r="B208" s="5"/>
      <c r="C208" s="35"/>
      <c r="D208" s="3"/>
      <c r="E208" s="2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8">
        <f t="shared" si="3"/>
        <v>0</v>
      </c>
    </row>
    <row r="209" spans="1:6" x14ac:dyDescent="0.25">
      <c r="A209" s="50"/>
      <c r="B209" s="5"/>
      <c r="C209" s="35"/>
      <c r="D209" s="3"/>
      <c r="E209" s="2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8">
        <f t="shared" si="3"/>
        <v>0</v>
      </c>
    </row>
    <row r="210" spans="1:6" x14ac:dyDescent="0.25">
      <c r="A210" s="50"/>
      <c r="B210" s="5"/>
      <c r="C210" s="35"/>
      <c r="D210" s="3"/>
      <c r="E210" s="2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8">
        <f t="shared" si="3"/>
        <v>0</v>
      </c>
    </row>
    <row r="211" spans="1:6" x14ac:dyDescent="0.25">
      <c r="A211" s="50"/>
      <c r="B211" s="5"/>
      <c r="C211" s="35"/>
      <c r="D211" s="3"/>
      <c r="E211" s="2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8">
        <f t="shared" si="3"/>
        <v>0</v>
      </c>
    </row>
    <row r="212" spans="1:6" x14ac:dyDescent="0.25">
      <c r="A212" s="50"/>
      <c r="B212" s="5"/>
      <c r="C212" s="35"/>
      <c r="D212" s="3"/>
      <c r="E212" s="2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8">
        <f t="shared" si="3"/>
        <v>0</v>
      </c>
    </row>
    <row r="213" spans="1:6" x14ac:dyDescent="0.25">
      <c r="A213" s="50"/>
      <c r="B213" s="5"/>
      <c r="C213" s="35"/>
      <c r="D213" s="3"/>
      <c r="E213" s="2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8">
        <f t="shared" si="3"/>
        <v>0</v>
      </c>
    </row>
    <row r="214" spans="1:6" x14ac:dyDescent="0.25">
      <c r="A214" s="50"/>
      <c r="B214" s="5"/>
      <c r="C214" s="35"/>
      <c r="D214" s="3"/>
      <c r="E214" s="2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8">
        <f t="shared" si="3"/>
        <v>0</v>
      </c>
    </row>
    <row r="215" spans="1:6" x14ac:dyDescent="0.25">
      <c r="A215" s="50"/>
      <c r="B215" s="5"/>
      <c r="C215" s="35"/>
      <c r="D215" s="3"/>
      <c r="E215" s="2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8">
        <f t="shared" si="3"/>
        <v>0</v>
      </c>
    </row>
    <row r="216" spans="1:6" x14ac:dyDescent="0.25">
      <c r="A216" s="50"/>
      <c r="B216" s="5"/>
      <c r="C216" s="35"/>
      <c r="D216" s="3"/>
      <c r="E216" s="2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8">
        <f t="shared" si="3"/>
        <v>0</v>
      </c>
    </row>
    <row r="217" spans="1:6" x14ac:dyDescent="0.25">
      <c r="A217" s="50"/>
      <c r="B217" s="5"/>
      <c r="C217" s="35"/>
      <c r="D217" s="3"/>
      <c r="E217" s="2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8">
        <f t="shared" si="3"/>
        <v>0</v>
      </c>
    </row>
    <row r="218" spans="1:6" x14ac:dyDescent="0.25">
      <c r="A218" s="50"/>
      <c r="B218" s="5"/>
      <c r="C218" s="35"/>
      <c r="D218" s="3"/>
      <c r="E218" s="2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8">
        <f t="shared" si="3"/>
        <v>0</v>
      </c>
    </row>
    <row r="219" spans="1:6" x14ac:dyDescent="0.25">
      <c r="A219" s="50"/>
      <c r="B219" s="5"/>
      <c r="C219" s="35"/>
      <c r="D219" s="3"/>
      <c r="E219" s="2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8">
        <f t="shared" si="3"/>
        <v>0</v>
      </c>
    </row>
    <row r="220" spans="1:6" x14ac:dyDescent="0.25">
      <c r="A220" s="50"/>
      <c r="B220" s="5"/>
      <c r="C220" s="35"/>
      <c r="D220" s="3"/>
      <c r="E220" s="2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8">
        <f t="shared" si="3"/>
        <v>0</v>
      </c>
    </row>
    <row r="221" spans="1:6" x14ac:dyDescent="0.25">
      <c r="A221" s="50"/>
      <c r="B221" s="5"/>
      <c r="C221" s="35"/>
      <c r="D221" s="3"/>
      <c r="E221" s="2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8">
        <f t="shared" si="3"/>
        <v>0</v>
      </c>
    </row>
    <row r="222" spans="1:6" x14ac:dyDescent="0.25">
      <c r="A222" s="50"/>
      <c r="B222" s="5"/>
      <c r="C222" s="35"/>
      <c r="D222" s="3"/>
      <c r="E222" s="2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8">
        <f t="shared" si="3"/>
        <v>0</v>
      </c>
    </row>
    <row r="223" spans="1:6" x14ac:dyDescent="0.25">
      <c r="A223" s="50"/>
      <c r="B223" s="5"/>
      <c r="C223" s="35"/>
      <c r="D223" s="3"/>
      <c r="E223" s="2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8">
        <f t="shared" si="3"/>
        <v>0</v>
      </c>
    </row>
    <row r="224" spans="1:6" x14ac:dyDescent="0.25">
      <c r="A224" s="50"/>
      <c r="B224" s="5"/>
      <c r="C224" s="35"/>
      <c r="D224" s="3"/>
      <c r="E224" s="2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8">
        <f t="shared" si="3"/>
        <v>0</v>
      </c>
    </row>
    <row r="225" spans="1:6" x14ac:dyDescent="0.25">
      <c r="A225" s="50"/>
      <c r="B225" s="5"/>
      <c r="C225" s="35"/>
      <c r="D225" s="3"/>
      <c r="E225" s="2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8">
        <f t="shared" si="3"/>
        <v>0</v>
      </c>
    </row>
    <row r="226" spans="1:6" x14ac:dyDescent="0.25">
      <c r="A226" s="50"/>
      <c r="B226" s="5"/>
      <c r="C226" s="35"/>
      <c r="D226" s="3"/>
      <c r="E226" s="2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8">
        <f t="shared" si="3"/>
        <v>0</v>
      </c>
    </row>
    <row r="227" spans="1:6" x14ac:dyDescent="0.25">
      <c r="A227" s="50"/>
      <c r="B227" s="5"/>
      <c r="C227" s="35"/>
      <c r="D227" s="3"/>
      <c r="E227" s="2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8">
        <f t="shared" ref="F227:F248" si="4">IF(D227&lt;&gt;0,E227-$E$3,0)</f>
        <v>0</v>
      </c>
    </row>
    <row r="228" spans="1:6" x14ac:dyDescent="0.25">
      <c r="A228" s="50"/>
      <c r="B228" s="5"/>
      <c r="C228" s="35"/>
      <c r="D228" s="3"/>
      <c r="E228" s="2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8">
        <f t="shared" si="4"/>
        <v>0</v>
      </c>
    </row>
    <row r="229" spans="1:6" x14ac:dyDescent="0.25">
      <c r="A229" s="50"/>
      <c r="B229" s="5"/>
      <c r="C229" s="35"/>
      <c r="D229" s="3"/>
      <c r="E229" s="2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8">
        <f t="shared" si="4"/>
        <v>0</v>
      </c>
    </row>
    <row r="230" spans="1:6" x14ac:dyDescent="0.25">
      <c r="A230" s="50"/>
      <c r="B230" s="5"/>
      <c r="C230" s="35"/>
      <c r="D230" s="3"/>
      <c r="E230" s="2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8">
        <f t="shared" si="4"/>
        <v>0</v>
      </c>
    </row>
    <row r="231" spans="1:6" x14ac:dyDescent="0.25">
      <c r="A231" s="50"/>
      <c r="B231" s="5"/>
      <c r="C231" s="35"/>
      <c r="D231" s="3"/>
      <c r="E231" s="2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8">
        <f t="shared" si="4"/>
        <v>0</v>
      </c>
    </row>
    <row r="232" spans="1:6" x14ac:dyDescent="0.25">
      <c r="A232" s="50"/>
      <c r="B232" s="5"/>
      <c r="C232" s="35"/>
      <c r="D232" s="3"/>
      <c r="E232" s="2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8">
        <f t="shared" si="4"/>
        <v>0</v>
      </c>
    </row>
    <row r="233" spans="1:6" x14ac:dyDescent="0.25">
      <c r="A233" s="50"/>
      <c r="B233" s="5"/>
      <c r="C233" s="35"/>
      <c r="D233" s="3"/>
      <c r="E233" s="2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8">
        <f t="shared" si="4"/>
        <v>0</v>
      </c>
    </row>
    <row r="234" spans="1:6" x14ac:dyDescent="0.25">
      <c r="A234" s="50"/>
      <c r="B234" s="5"/>
      <c r="C234" s="35"/>
      <c r="D234" s="3"/>
      <c r="E234" s="2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8">
        <f t="shared" si="4"/>
        <v>0</v>
      </c>
    </row>
    <row r="235" spans="1:6" x14ac:dyDescent="0.25">
      <c r="A235" s="50"/>
      <c r="B235" s="5"/>
      <c r="C235" s="35"/>
      <c r="D235" s="3"/>
      <c r="E235" s="2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8">
        <f t="shared" si="4"/>
        <v>0</v>
      </c>
    </row>
    <row r="236" spans="1:6" x14ac:dyDescent="0.25">
      <c r="A236" s="50"/>
      <c r="B236" s="5"/>
      <c r="C236" s="35"/>
      <c r="D236" s="3"/>
      <c r="E236" s="2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8">
        <f t="shared" si="4"/>
        <v>0</v>
      </c>
    </row>
    <row r="237" spans="1:6" x14ac:dyDescent="0.25">
      <c r="A237" s="50"/>
      <c r="B237" s="5"/>
      <c r="C237" s="35"/>
      <c r="D237" s="3"/>
      <c r="E237" s="2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8">
        <f t="shared" si="4"/>
        <v>0</v>
      </c>
    </row>
    <row r="238" spans="1:6" x14ac:dyDescent="0.25">
      <c r="A238" s="50"/>
      <c r="B238" s="5"/>
      <c r="C238" s="35"/>
      <c r="D238" s="3"/>
      <c r="E238" s="2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8">
        <f t="shared" si="4"/>
        <v>0</v>
      </c>
    </row>
    <row r="239" spans="1:6" x14ac:dyDescent="0.25">
      <c r="A239" s="50"/>
      <c r="B239" s="5"/>
      <c r="C239" s="35"/>
      <c r="D239" s="3"/>
      <c r="E239" s="2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8">
        <f t="shared" si="4"/>
        <v>0</v>
      </c>
    </row>
    <row r="240" spans="1:6" x14ac:dyDescent="0.25">
      <c r="A240" s="50"/>
      <c r="B240" s="5"/>
      <c r="C240" s="35"/>
      <c r="D240" s="3"/>
      <c r="E240" s="2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8">
        <f t="shared" si="4"/>
        <v>0</v>
      </c>
    </row>
    <row r="241" spans="1:6" x14ac:dyDescent="0.25">
      <c r="A241" s="50"/>
      <c r="B241" s="5"/>
      <c r="C241" s="35"/>
      <c r="D241" s="3"/>
      <c r="E241" s="2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8">
        <f t="shared" si="4"/>
        <v>0</v>
      </c>
    </row>
    <row r="242" spans="1:6" x14ac:dyDescent="0.25">
      <c r="A242" s="50"/>
      <c r="B242" s="5"/>
      <c r="C242" s="35"/>
      <c r="D242" s="3"/>
      <c r="E242" s="2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8">
        <f t="shared" si="4"/>
        <v>0</v>
      </c>
    </row>
    <row r="243" spans="1:6" x14ac:dyDescent="0.25">
      <c r="A243" s="50"/>
      <c r="B243" s="5"/>
      <c r="C243" s="35"/>
      <c r="D243" s="3"/>
      <c r="E243" s="2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8">
        <f t="shared" si="4"/>
        <v>0</v>
      </c>
    </row>
    <row r="244" spans="1:6" x14ac:dyDescent="0.25">
      <c r="A244" s="50"/>
      <c r="B244" s="5"/>
      <c r="C244" s="35"/>
      <c r="D244" s="3"/>
      <c r="E244" s="2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8">
        <f t="shared" si="4"/>
        <v>0</v>
      </c>
    </row>
    <row r="245" spans="1:6" x14ac:dyDescent="0.25">
      <c r="A245" s="50"/>
      <c r="B245" s="5"/>
      <c r="C245" s="35"/>
      <c r="D245" s="3"/>
      <c r="E245" s="2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8">
        <f t="shared" si="4"/>
        <v>0</v>
      </c>
    </row>
    <row r="246" spans="1:6" x14ac:dyDescent="0.25">
      <c r="A246" s="50"/>
      <c r="B246" s="5"/>
      <c r="C246" s="35"/>
      <c r="D246" s="3"/>
      <c r="E246" s="2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8">
        <f t="shared" si="4"/>
        <v>0</v>
      </c>
    </row>
    <row r="247" spans="1:6" x14ac:dyDescent="0.25">
      <c r="A247" s="50"/>
      <c r="B247" s="5"/>
      <c r="C247" s="35"/>
      <c r="D247" s="3"/>
      <c r="E247" s="2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8">
        <f t="shared" si="4"/>
        <v>0</v>
      </c>
    </row>
    <row r="248" spans="1:6" x14ac:dyDescent="0.25">
      <c r="A248" s="51"/>
      <c r="B248" s="5"/>
      <c r="C248" s="48"/>
      <c r="D248" s="46"/>
      <c r="E248" s="9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0">
        <f t="shared" si="4"/>
        <v>0</v>
      </c>
    </row>
  </sheetData>
  <mergeCells count="5">
    <mergeCell ref="A5:C5"/>
    <mergeCell ref="A1:B1"/>
    <mergeCell ref="A2:C2"/>
    <mergeCell ref="A3:C3"/>
    <mergeCell ref="A4:C4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autoPict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5</xdr:col>
                <xdr:colOff>552450</xdr:colOff>
                <xdr:row>5</xdr:row>
                <xdr:rowOff>342900</xdr:rowOff>
              </to>
            </anchor>
          </controlPr>
        </control>
      </mc:Choice>
      <mc:Fallback>
        <control shapeId="3074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9AE4-989D-4031-A773-C1AF6C9267D9}">
  <sheetPr codeName="Sheet1"/>
  <dimension ref="D4:D12"/>
  <sheetViews>
    <sheetView workbookViewId="0">
      <selection activeCell="E26" sqref="E26"/>
    </sheetView>
  </sheetViews>
  <sheetFormatPr defaultRowHeight="15" x14ac:dyDescent="0.25"/>
  <cols>
    <col min="4" max="4" width="73.140625" customWidth="1"/>
    <col min="5" max="5" width="24.85546875" bestFit="1" customWidth="1"/>
  </cols>
  <sheetData>
    <row r="4" spans="4:4" ht="15.75" thickBot="1" x14ac:dyDescent="0.3"/>
    <row r="5" spans="4:4" x14ac:dyDescent="0.25">
      <c r="D5" s="31"/>
    </row>
    <row r="6" spans="4:4" x14ac:dyDescent="0.25">
      <c r="D6" s="32"/>
    </row>
    <row r="7" spans="4:4" x14ac:dyDescent="0.25">
      <c r="D7" s="32"/>
    </row>
    <row r="8" spans="4:4" ht="15.75" thickBot="1" x14ac:dyDescent="0.3">
      <c r="D8" s="33"/>
    </row>
    <row r="10" spans="4:4" x14ac:dyDescent="0.25">
      <c r="D10" s="29" t="s">
        <v>19</v>
      </c>
    </row>
    <row r="11" spans="4:4" x14ac:dyDescent="0.25">
      <c r="D11" s="30" t="s">
        <v>20</v>
      </c>
    </row>
    <row r="12" spans="4:4" ht="45" x14ac:dyDescent="0.25">
      <c r="D12" s="34" t="s">
        <v>21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3</xdr:col>
                <xdr:colOff>238125</xdr:colOff>
                <xdr:row>5</xdr:row>
                <xdr:rowOff>9525</xdr:rowOff>
              </from>
              <to>
                <xdr:col>3</xdr:col>
                <xdr:colOff>1695450</xdr:colOff>
                <xdr:row>6</xdr:row>
                <xdr:rowOff>152400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266</vt:i4>
      </vt:variant>
    </vt:vector>
  </HeadingPairs>
  <TitlesOfParts>
    <vt:vector size="269" baseType="lpstr">
      <vt:lpstr>Modelo Atmosférico</vt:lpstr>
      <vt:lpstr>Leitura Dados de Vôo</vt:lpstr>
      <vt:lpstr>Zerar o Altímetro</vt:lpstr>
      <vt:lpstr>'Leitura Dados de Vôo'!P1_flight_data_raw</vt:lpstr>
      <vt:lpstr>'Leitura Dados de Vôo'!P1_flight_data_raw_1</vt:lpstr>
      <vt:lpstr>'Leitura Dados de Vôo'!P1_flight_data_raw_100</vt:lpstr>
      <vt:lpstr>'Leitura Dados de Vôo'!P1_flight_data_raw_101</vt:lpstr>
      <vt:lpstr>'Leitura Dados de Vôo'!P1_flight_data_raw_104</vt:lpstr>
      <vt:lpstr>'Leitura Dados de Vôo'!P1_flight_data_raw_105</vt:lpstr>
      <vt:lpstr>'Leitura Dados de Vôo'!P1_flight_data_raw_106</vt:lpstr>
      <vt:lpstr>'Leitura Dados de Vôo'!P1_flight_data_raw_107</vt:lpstr>
      <vt:lpstr>'Leitura Dados de Vôo'!P1_flight_data_raw_108</vt:lpstr>
      <vt:lpstr>'Leitura Dados de Vôo'!P1_flight_data_raw_109</vt:lpstr>
      <vt:lpstr>'Leitura Dados de Vôo'!P1_flight_data_raw_110</vt:lpstr>
      <vt:lpstr>'Leitura Dados de Vôo'!P1_flight_data_raw_111</vt:lpstr>
      <vt:lpstr>'Leitura Dados de Vôo'!P1_flight_data_raw_112</vt:lpstr>
      <vt:lpstr>'Leitura Dados de Vôo'!P1_flight_data_raw_113</vt:lpstr>
      <vt:lpstr>'Leitura Dados de Vôo'!P1_flight_data_raw_114</vt:lpstr>
      <vt:lpstr>'Leitura Dados de Vôo'!P1_flight_data_raw_115</vt:lpstr>
      <vt:lpstr>'Leitura Dados de Vôo'!P1_flight_data_raw_116</vt:lpstr>
      <vt:lpstr>'Leitura Dados de Vôo'!P1_flight_data_raw_117</vt:lpstr>
      <vt:lpstr>'Leitura Dados de Vôo'!P1_flight_data_raw_118</vt:lpstr>
      <vt:lpstr>'Leitura Dados de Vôo'!P1_flight_data_raw_119</vt:lpstr>
      <vt:lpstr>'Leitura Dados de Vôo'!P1_flight_data_raw_120</vt:lpstr>
      <vt:lpstr>'Leitura Dados de Vôo'!P1_flight_data_raw_121</vt:lpstr>
      <vt:lpstr>'Leitura Dados de Vôo'!P1_flight_data_raw_122</vt:lpstr>
      <vt:lpstr>'Leitura Dados de Vôo'!P1_flight_data_raw_123</vt:lpstr>
      <vt:lpstr>'Leitura Dados de Vôo'!P1_flight_data_raw_125</vt:lpstr>
      <vt:lpstr>'Leitura Dados de Vôo'!P1_flight_data_raw_126</vt:lpstr>
      <vt:lpstr>'Leitura Dados de Vôo'!P1_flight_data_raw_127</vt:lpstr>
      <vt:lpstr>'Leitura Dados de Vôo'!P1_flight_data_raw_130</vt:lpstr>
      <vt:lpstr>'Leitura Dados de Vôo'!P1_flight_data_raw_131</vt:lpstr>
      <vt:lpstr>'Leitura Dados de Vôo'!P1_flight_data_raw_133</vt:lpstr>
      <vt:lpstr>'Leitura Dados de Vôo'!P1_flight_data_raw_134</vt:lpstr>
      <vt:lpstr>'Leitura Dados de Vôo'!P1_flight_data_raw_135</vt:lpstr>
      <vt:lpstr>'Leitura Dados de Vôo'!P1_flight_data_raw_136</vt:lpstr>
      <vt:lpstr>'Leitura Dados de Vôo'!P1_flight_data_raw_137</vt:lpstr>
      <vt:lpstr>'Leitura Dados de Vôo'!P1_flight_data_raw_138</vt:lpstr>
      <vt:lpstr>'Leitura Dados de Vôo'!P1_flight_data_raw_139</vt:lpstr>
      <vt:lpstr>'Leitura Dados de Vôo'!P1_flight_data_raw_140</vt:lpstr>
      <vt:lpstr>'Leitura Dados de Vôo'!P1_flight_data_raw_141</vt:lpstr>
      <vt:lpstr>'Leitura Dados de Vôo'!P1_flight_data_raw_142</vt:lpstr>
      <vt:lpstr>'Leitura Dados de Vôo'!P1_flight_data_raw_143</vt:lpstr>
      <vt:lpstr>'Leitura Dados de Vôo'!P1_flight_data_raw_144</vt:lpstr>
      <vt:lpstr>'Leitura Dados de Vôo'!P1_flight_data_raw_145</vt:lpstr>
      <vt:lpstr>'Leitura Dados de Vôo'!P1_flight_data_raw_146</vt:lpstr>
      <vt:lpstr>'Leitura Dados de Vôo'!P1_flight_data_raw_147</vt:lpstr>
      <vt:lpstr>'Leitura Dados de Vôo'!P1_flight_data_raw_148</vt:lpstr>
      <vt:lpstr>'Leitura Dados de Vôo'!P1_flight_data_raw_149</vt:lpstr>
      <vt:lpstr>'Leitura Dados de Vôo'!P1_flight_data_raw_150</vt:lpstr>
      <vt:lpstr>'Leitura Dados de Vôo'!P1_flight_data_raw_151</vt:lpstr>
      <vt:lpstr>'Leitura Dados de Vôo'!P1_flight_data_raw_152</vt:lpstr>
      <vt:lpstr>'Leitura Dados de Vôo'!P1_flight_data_raw_153</vt:lpstr>
      <vt:lpstr>'Leitura Dados de Vôo'!P1_flight_data_raw_23</vt:lpstr>
      <vt:lpstr>'Leitura Dados de Vôo'!P1_flight_data_raw_3</vt:lpstr>
      <vt:lpstr>'Leitura Dados de Vôo'!P1_flight_data_raw_38</vt:lpstr>
      <vt:lpstr>'Leitura Dados de Vôo'!P1_flight_data_raw_4</vt:lpstr>
      <vt:lpstr>'Leitura Dados de Vôo'!P1_flight_data_raw_40</vt:lpstr>
      <vt:lpstr>'Leitura Dados de Vôo'!P1_flight_data_raw_41</vt:lpstr>
      <vt:lpstr>'Leitura Dados de Vôo'!P1_flight_data_raw_43</vt:lpstr>
      <vt:lpstr>'Leitura Dados de Vôo'!P1_flight_data_raw_49</vt:lpstr>
      <vt:lpstr>'Leitura Dados de Vôo'!P1_flight_data_raw_50</vt:lpstr>
      <vt:lpstr>'Leitura Dados de Vôo'!P1_flight_data_raw_54</vt:lpstr>
      <vt:lpstr>'Leitura Dados de Vôo'!P1_flight_data_raw_55</vt:lpstr>
      <vt:lpstr>'Leitura Dados de Vôo'!P1_flight_data_raw_56</vt:lpstr>
      <vt:lpstr>'Leitura Dados de Vôo'!P1_flight_data_raw_58</vt:lpstr>
      <vt:lpstr>'Leitura Dados de Vôo'!P1_flight_data_raw_64</vt:lpstr>
      <vt:lpstr>'Leitura Dados de Vôo'!P1_flight_data_raw_65</vt:lpstr>
      <vt:lpstr>'Leitura Dados de Vôo'!P1_flight_data_raw_66</vt:lpstr>
      <vt:lpstr>'Leitura Dados de Vôo'!P1_flight_data_raw_67</vt:lpstr>
      <vt:lpstr>'Leitura Dados de Vôo'!P1_flight_data_raw_68</vt:lpstr>
      <vt:lpstr>'Leitura Dados de Vôo'!P1_flight_data_raw_69</vt:lpstr>
      <vt:lpstr>'Leitura Dados de Vôo'!P1_flight_data_raw_70</vt:lpstr>
      <vt:lpstr>'Leitura Dados de Vôo'!P1_flight_data_raw_71</vt:lpstr>
      <vt:lpstr>'Leitura Dados de Vôo'!P1_flight_data_raw_72</vt:lpstr>
      <vt:lpstr>'Leitura Dados de Vôo'!P1_flight_data_raw_73</vt:lpstr>
      <vt:lpstr>'Leitura Dados de Vôo'!P1_flight_data_raw_74</vt:lpstr>
      <vt:lpstr>'Leitura Dados de Vôo'!P1_flight_data_raw_75</vt:lpstr>
      <vt:lpstr>'Leitura Dados de Vôo'!P1_flight_data_raw_76</vt:lpstr>
      <vt:lpstr>'Leitura Dados de Vôo'!P1_flight_data_raw_79</vt:lpstr>
      <vt:lpstr>'Leitura Dados de Vôo'!P1_flight_data_raw_8</vt:lpstr>
      <vt:lpstr>'Leitura Dados de Vôo'!P1_flight_data_raw_80</vt:lpstr>
      <vt:lpstr>'Leitura Dados de Vôo'!P1_flight_data_raw_81</vt:lpstr>
      <vt:lpstr>'Leitura Dados de Vôo'!P1_flight_data_raw_82</vt:lpstr>
      <vt:lpstr>'Leitura Dados de Vôo'!P1_flight_data_raw_83</vt:lpstr>
      <vt:lpstr>'Leitura Dados de Vôo'!P1_flight_data_raw_84</vt:lpstr>
      <vt:lpstr>'Leitura Dados de Vôo'!P1_flight_data_raw_85</vt:lpstr>
      <vt:lpstr>'Leitura Dados de Vôo'!P1_flight_data_raw_86</vt:lpstr>
      <vt:lpstr>'Leitura Dados de Vôo'!P1_flight_data_raw_87</vt:lpstr>
      <vt:lpstr>'Leitura Dados de Vôo'!P1_flight_data_raw_88</vt:lpstr>
      <vt:lpstr>'Leitura Dados de Vôo'!P1_flight_data_raw_89</vt:lpstr>
      <vt:lpstr>'Leitura Dados de Vôo'!P1_flight_data_raw_90</vt:lpstr>
      <vt:lpstr>'Leitura Dados de Vôo'!P1_flight_data_raw_91</vt:lpstr>
      <vt:lpstr>'Leitura Dados de Vôo'!P1_flight_data_raw_92</vt:lpstr>
      <vt:lpstr>'Leitura Dados de Vôo'!P1_flight_data_raw_93</vt:lpstr>
      <vt:lpstr>'Leitura Dados de Vôo'!P1_flight_data_raw_94</vt:lpstr>
      <vt:lpstr>'Leitura Dados de Vôo'!P1_flight_data_raw_95</vt:lpstr>
      <vt:lpstr>'Leitura Dados de Vôo'!P1_flight_data_raw_96</vt:lpstr>
      <vt:lpstr>'Leitura Dados de Vôo'!P1_flight_data_raw_97</vt:lpstr>
      <vt:lpstr>'Leitura Dados de Vôo'!P1_flight_data_raw_98</vt:lpstr>
      <vt:lpstr>'Leitura Dados de Vôo'!P1_flight_data_raw_99</vt:lpstr>
      <vt:lpstr>'Leitura Dados de Vôo'!P1_flight_data_true</vt:lpstr>
      <vt:lpstr>'Leitura Dados de Vôo'!P1_flight_data_true_10</vt:lpstr>
      <vt:lpstr>'Leitura Dados de Vôo'!P1_flight_data_true_100</vt:lpstr>
      <vt:lpstr>'Leitura Dados de Vôo'!P1_flight_data_true_101</vt:lpstr>
      <vt:lpstr>'Leitura Dados de Vôo'!P1_flight_data_true_102</vt:lpstr>
      <vt:lpstr>'Leitura Dados de Vôo'!P1_flight_data_true_103</vt:lpstr>
      <vt:lpstr>'Leitura Dados de Vôo'!P1_flight_data_true_104</vt:lpstr>
      <vt:lpstr>'Leitura Dados de Vôo'!P1_flight_data_true_105</vt:lpstr>
      <vt:lpstr>'Leitura Dados de Vôo'!P1_flight_data_true_106</vt:lpstr>
      <vt:lpstr>'Leitura Dados de Vôo'!P1_flight_data_true_107</vt:lpstr>
      <vt:lpstr>'Leitura Dados de Vôo'!P1_flight_data_true_108</vt:lpstr>
      <vt:lpstr>'Leitura Dados de Vôo'!P1_flight_data_true_109</vt:lpstr>
      <vt:lpstr>'Leitura Dados de Vôo'!P1_flight_data_true_11</vt:lpstr>
      <vt:lpstr>'Leitura Dados de Vôo'!P1_flight_data_true_110</vt:lpstr>
      <vt:lpstr>'Leitura Dados de Vôo'!P1_flight_data_true_111</vt:lpstr>
      <vt:lpstr>'Leitura Dados de Vôo'!P1_flight_data_true_112</vt:lpstr>
      <vt:lpstr>'Leitura Dados de Vôo'!P1_flight_data_true_113</vt:lpstr>
      <vt:lpstr>'Leitura Dados de Vôo'!P1_flight_data_true_114</vt:lpstr>
      <vt:lpstr>'Leitura Dados de Vôo'!P1_flight_data_true_115</vt:lpstr>
      <vt:lpstr>'Leitura Dados de Vôo'!P1_flight_data_true_116</vt:lpstr>
      <vt:lpstr>'Leitura Dados de Vôo'!P1_flight_data_true_117</vt:lpstr>
      <vt:lpstr>'Leitura Dados de Vôo'!P1_flight_data_true_118</vt:lpstr>
      <vt:lpstr>'Leitura Dados de Vôo'!P1_flight_data_true_119</vt:lpstr>
      <vt:lpstr>'Leitura Dados de Vôo'!P1_flight_data_true_12</vt:lpstr>
      <vt:lpstr>'Leitura Dados de Vôo'!P1_flight_data_true_120</vt:lpstr>
      <vt:lpstr>'Leitura Dados de Vôo'!P1_flight_data_true_121</vt:lpstr>
      <vt:lpstr>'Leitura Dados de Vôo'!P1_flight_data_true_122</vt:lpstr>
      <vt:lpstr>'Leitura Dados de Vôo'!P1_flight_data_true_123</vt:lpstr>
      <vt:lpstr>'Leitura Dados de Vôo'!P1_flight_data_true_124</vt:lpstr>
      <vt:lpstr>'Leitura Dados de Vôo'!P1_flight_data_true_125</vt:lpstr>
      <vt:lpstr>'Leitura Dados de Vôo'!P1_flight_data_true_126</vt:lpstr>
      <vt:lpstr>'Leitura Dados de Vôo'!P1_flight_data_true_127</vt:lpstr>
      <vt:lpstr>'Leitura Dados de Vôo'!P1_flight_data_true_128</vt:lpstr>
      <vt:lpstr>'Leitura Dados de Vôo'!P1_flight_data_true_129</vt:lpstr>
      <vt:lpstr>'Leitura Dados de Vôo'!P1_flight_data_true_13</vt:lpstr>
      <vt:lpstr>'Leitura Dados de Vôo'!P1_flight_data_true_130</vt:lpstr>
      <vt:lpstr>'Leitura Dados de Vôo'!P1_flight_data_true_131</vt:lpstr>
      <vt:lpstr>'Leitura Dados de Vôo'!P1_flight_data_true_132</vt:lpstr>
      <vt:lpstr>'Leitura Dados de Vôo'!P1_flight_data_true_133</vt:lpstr>
      <vt:lpstr>'Leitura Dados de Vôo'!P1_flight_data_true_134</vt:lpstr>
      <vt:lpstr>'Leitura Dados de Vôo'!P1_flight_data_true_135</vt:lpstr>
      <vt:lpstr>'Leitura Dados de Vôo'!P1_flight_data_true_136</vt:lpstr>
      <vt:lpstr>'Leitura Dados de Vôo'!P1_flight_data_true_137</vt:lpstr>
      <vt:lpstr>'Leitura Dados de Vôo'!P1_flight_data_true_138</vt:lpstr>
      <vt:lpstr>'Leitura Dados de Vôo'!P1_flight_data_true_139</vt:lpstr>
      <vt:lpstr>'Leitura Dados de Vôo'!P1_flight_data_true_14</vt:lpstr>
      <vt:lpstr>'Leitura Dados de Vôo'!P1_flight_data_true_140</vt:lpstr>
      <vt:lpstr>'Leitura Dados de Vôo'!P1_flight_data_true_141</vt:lpstr>
      <vt:lpstr>'Leitura Dados de Vôo'!P1_flight_data_true_142</vt:lpstr>
      <vt:lpstr>'Leitura Dados de Vôo'!P1_flight_data_true_143</vt:lpstr>
      <vt:lpstr>'Leitura Dados de Vôo'!P1_flight_data_true_144</vt:lpstr>
      <vt:lpstr>'Leitura Dados de Vôo'!P1_flight_data_true_145</vt:lpstr>
      <vt:lpstr>'Leitura Dados de Vôo'!P1_flight_data_true_146</vt:lpstr>
      <vt:lpstr>'Leitura Dados de Vôo'!P1_flight_data_true_147</vt:lpstr>
      <vt:lpstr>'Leitura Dados de Vôo'!P1_flight_data_true_148</vt:lpstr>
      <vt:lpstr>'Leitura Dados de Vôo'!P1_flight_data_true_149</vt:lpstr>
      <vt:lpstr>'Leitura Dados de Vôo'!P1_flight_data_true_15</vt:lpstr>
      <vt:lpstr>'Leitura Dados de Vôo'!P1_flight_data_true_150</vt:lpstr>
      <vt:lpstr>'Leitura Dados de Vôo'!P1_flight_data_true_151</vt:lpstr>
      <vt:lpstr>'Leitura Dados de Vôo'!P1_flight_data_true_152</vt:lpstr>
      <vt:lpstr>'Leitura Dados de Vôo'!P1_flight_data_true_153</vt:lpstr>
      <vt:lpstr>'Leitura Dados de Vôo'!P1_flight_data_true_154</vt:lpstr>
      <vt:lpstr>'Leitura Dados de Vôo'!P1_flight_data_true_155</vt:lpstr>
      <vt:lpstr>'Leitura Dados de Vôo'!P1_flight_data_true_156</vt:lpstr>
      <vt:lpstr>'Leitura Dados de Vôo'!P1_flight_data_true_157</vt:lpstr>
      <vt:lpstr>'Leitura Dados de Vôo'!P1_flight_data_true_158</vt:lpstr>
      <vt:lpstr>'Leitura Dados de Vôo'!P1_flight_data_true_159</vt:lpstr>
      <vt:lpstr>'Leitura Dados de Vôo'!P1_flight_data_true_16</vt:lpstr>
      <vt:lpstr>'Leitura Dados de Vôo'!P1_flight_data_true_17</vt:lpstr>
      <vt:lpstr>'Leitura Dados de Vôo'!P1_flight_data_true_18</vt:lpstr>
      <vt:lpstr>'Leitura Dados de Vôo'!P1_flight_data_true_19</vt:lpstr>
      <vt:lpstr>'Leitura Dados de Vôo'!P1_flight_data_true_2</vt:lpstr>
      <vt:lpstr>'Leitura Dados de Vôo'!P1_flight_data_true_20</vt:lpstr>
      <vt:lpstr>'Leitura Dados de Vôo'!P1_flight_data_true_21</vt:lpstr>
      <vt:lpstr>'Leitura Dados de Vôo'!P1_flight_data_true_22</vt:lpstr>
      <vt:lpstr>'Leitura Dados de Vôo'!P1_flight_data_true_23</vt:lpstr>
      <vt:lpstr>'Leitura Dados de Vôo'!P1_flight_data_true_24</vt:lpstr>
      <vt:lpstr>'Leitura Dados de Vôo'!P1_flight_data_true_25</vt:lpstr>
      <vt:lpstr>'Leitura Dados de Vôo'!P1_flight_data_true_26</vt:lpstr>
      <vt:lpstr>'Leitura Dados de Vôo'!P1_flight_data_true_27</vt:lpstr>
      <vt:lpstr>'Leitura Dados de Vôo'!P1_flight_data_true_28</vt:lpstr>
      <vt:lpstr>'Leitura Dados de Vôo'!P1_flight_data_true_29</vt:lpstr>
      <vt:lpstr>'Leitura Dados de Vôo'!P1_flight_data_true_3</vt:lpstr>
      <vt:lpstr>'Leitura Dados de Vôo'!P1_flight_data_true_30</vt:lpstr>
      <vt:lpstr>'Leitura Dados de Vôo'!P1_flight_data_true_31</vt:lpstr>
      <vt:lpstr>'Leitura Dados de Vôo'!P1_flight_data_true_32</vt:lpstr>
      <vt:lpstr>'Leitura Dados de Vôo'!P1_flight_data_true_33</vt:lpstr>
      <vt:lpstr>'Leitura Dados de Vôo'!P1_flight_data_true_34</vt:lpstr>
      <vt:lpstr>'Leitura Dados de Vôo'!P1_flight_data_true_35</vt:lpstr>
      <vt:lpstr>'Leitura Dados de Vôo'!P1_flight_data_true_36</vt:lpstr>
      <vt:lpstr>'Leitura Dados de Vôo'!P1_flight_data_true_37</vt:lpstr>
      <vt:lpstr>'Leitura Dados de Vôo'!P1_flight_data_true_38</vt:lpstr>
      <vt:lpstr>'Leitura Dados de Vôo'!P1_flight_data_true_39</vt:lpstr>
      <vt:lpstr>'Leitura Dados de Vôo'!P1_flight_data_true_4</vt:lpstr>
      <vt:lpstr>'Leitura Dados de Vôo'!P1_flight_data_true_40</vt:lpstr>
      <vt:lpstr>'Leitura Dados de Vôo'!P1_flight_data_true_41</vt:lpstr>
      <vt:lpstr>'Leitura Dados de Vôo'!P1_flight_data_true_42</vt:lpstr>
      <vt:lpstr>'Leitura Dados de Vôo'!P1_flight_data_true_43</vt:lpstr>
      <vt:lpstr>'Leitura Dados de Vôo'!P1_flight_data_true_44</vt:lpstr>
      <vt:lpstr>'Leitura Dados de Vôo'!P1_flight_data_true_45</vt:lpstr>
      <vt:lpstr>'Leitura Dados de Vôo'!P1_flight_data_true_46</vt:lpstr>
      <vt:lpstr>'Leitura Dados de Vôo'!P1_flight_data_true_47</vt:lpstr>
      <vt:lpstr>'Leitura Dados de Vôo'!P1_flight_data_true_48</vt:lpstr>
      <vt:lpstr>'Leitura Dados de Vôo'!P1_flight_data_true_49</vt:lpstr>
      <vt:lpstr>'Leitura Dados de Vôo'!P1_flight_data_true_5</vt:lpstr>
      <vt:lpstr>'Leitura Dados de Vôo'!P1_flight_data_true_50</vt:lpstr>
      <vt:lpstr>'Leitura Dados de Vôo'!P1_flight_data_true_51</vt:lpstr>
      <vt:lpstr>'Leitura Dados de Vôo'!P1_flight_data_true_52</vt:lpstr>
      <vt:lpstr>'Leitura Dados de Vôo'!P1_flight_data_true_53</vt:lpstr>
      <vt:lpstr>'Leitura Dados de Vôo'!P1_flight_data_true_54</vt:lpstr>
      <vt:lpstr>'Leitura Dados de Vôo'!P1_flight_data_true_55</vt:lpstr>
      <vt:lpstr>'Leitura Dados de Vôo'!P1_flight_data_true_56</vt:lpstr>
      <vt:lpstr>'Leitura Dados de Vôo'!P1_flight_data_true_57</vt:lpstr>
      <vt:lpstr>'Leitura Dados de Vôo'!P1_flight_data_true_58</vt:lpstr>
      <vt:lpstr>'Leitura Dados de Vôo'!P1_flight_data_true_59</vt:lpstr>
      <vt:lpstr>'Leitura Dados de Vôo'!P1_flight_data_true_6</vt:lpstr>
      <vt:lpstr>'Leitura Dados de Vôo'!P1_flight_data_true_60</vt:lpstr>
      <vt:lpstr>'Leitura Dados de Vôo'!P1_flight_data_true_61</vt:lpstr>
      <vt:lpstr>'Leitura Dados de Vôo'!P1_flight_data_true_62</vt:lpstr>
      <vt:lpstr>'Leitura Dados de Vôo'!P1_flight_data_true_63</vt:lpstr>
      <vt:lpstr>'Leitura Dados de Vôo'!P1_flight_data_true_64</vt:lpstr>
      <vt:lpstr>'Leitura Dados de Vôo'!P1_flight_data_true_65</vt:lpstr>
      <vt:lpstr>'Leitura Dados de Vôo'!P1_flight_data_true_66</vt:lpstr>
      <vt:lpstr>'Leitura Dados de Vôo'!P1_flight_data_true_67</vt:lpstr>
      <vt:lpstr>'Leitura Dados de Vôo'!P1_flight_data_true_68</vt:lpstr>
      <vt:lpstr>'Leitura Dados de Vôo'!P1_flight_data_true_69</vt:lpstr>
      <vt:lpstr>'Leitura Dados de Vôo'!P1_flight_data_true_70</vt:lpstr>
      <vt:lpstr>'Leitura Dados de Vôo'!P1_flight_data_true_71</vt:lpstr>
      <vt:lpstr>'Leitura Dados de Vôo'!P1_flight_data_true_72</vt:lpstr>
      <vt:lpstr>'Leitura Dados de Vôo'!P1_flight_data_true_73</vt:lpstr>
      <vt:lpstr>'Leitura Dados de Vôo'!P1_flight_data_true_74</vt:lpstr>
      <vt:lpstr>'Leitura Dados de Vôo'!P1_flight_data_true_75</vt:lpstr>
      <vt:lpstr>'Leitura Dados de Vôo'!P1_flight_data_true_76</vt:lpstr>
      <vt:lpstr>'Leitura Dados de Vôo'!P1_flight_data_true_77</vt:lpstr>
      <vt:lpstr>'Leitura Dados de Vôo'!P1_flight_data_true_78</vt:lpstr>
      <vt:lpstr>'Leitura Dados de Vôo'!P1_flight_data_true_79</vt:lpstr>
      <vt:lpstr>'Leitura Dados de Vôo'!P1_flight_data_true_8</vt:lpstr>
      <vt:lpstr>'Leitura Dados de Vôo'!P1_flight_data_true_80</vt:lpstr>
      <vt:lpstr>'Leitura Dados de Vôo'!P1_flight_data_true_81</vt:lpstr>
      <vt:lpstr>'Leitura Dados de Vôo'!P1_flight_data_true_82</vt:lpstr>
      <vt:lpstr>'Leitura Dados de Vôo'!P1_flight_data_true_83</vt:lpstr>
      <vt:lpstr>'Leitura Dados de Vôo'!P1_flight_data_true_84</vt:lpstr>
      <vt:lpstr>'Leitura Dados de Vôo'!P1_flight_data_true_85</vt:lpstr>
      <vt:lpstr>'Leitura Dados de Vôo'!P1_flight_data_true_86</vt:lpstr>
      <vt:lpstr>'Leitura Dados de Vôo'!P1_flight_data_true_87</vt:lpstr>
      <vt:lpstr>'Leitura Dados de Vôo'!P1_flight_data_true_88</vt:lpstr>
      <vt:lpstr>'Leitura Dados de Vôo'!P1_flight_data_true_89</vt:lpstr>
      <vt:lpstr>'Leitura Dados de Vôo'!P1_flight_data_true_9</vt:lpstr>
      <vt:lpstr>'Leitura Dados de Vôo'!P1_flight_data_true_90</vt:lpstr>
      <vt:lpstr>'Leitura Dados de Vôo'!P1_flight_data_true_91</vt:lpstr>
      <vt:lpstr>'Leitura Dados de Vôo'!P1_flight_data_true_92</vt:lpstr>
      <vt:lpstr>'Leitura Dados de Vôo'!P1_flight_data_true_93</vt:lpstr>
      <vt:lpstr>'Leitura Dados de Vôo'!P1_flight_data_true_94</vt:lpstr>
      <vt:lpstr>'Leitura Dados de Vôo'!P1_flight_data_true_95</vt:lpstr>
      <vt:lpstr>'Leitura Dados de Vôo'!P1_flight_data_true_96</vt:lpstr>
      <vt:lpstr>'Leitura Dados de Vôo'!P1_flight_data_true_97</vt:lpstr>
      <vt:lpstr>'Leitura Dados de Vôo'!P1_flight_data_true_98</vt:lpstr>
      <vt:lpstr>'Leitura Dados de Vôo'!P1_flight_data_true_99</vt:lpstr>
      <vt:lpstr>'Leitura Dados de Vôo'!P1_timestamps</vt:lpstr>
      <vt:lpstr>'Leitura Dados de Vôo'!P1_timestamps_1</vt:lpstr>
      <vt:lpstr>'Leitura Dados de Vôo'!P1_timestamps_2</vt:lpstr>
      <vt:lpstr>'Leitura Dados de Vôo'!P1_timestamps_3</vt:lpstr>
      <vt:lpstr>'Leitura Dados de Vôo'!P1_timestamps_4</vt:lpstr>
      <vt:lpstr>'Leitura Dados de Vôo'!P1_timestamps_5</vt:lpstr>
      <vt:lpstr>'Leitura Dados de Vôo'!P1_timestamps_6</vt:lpstr>
      <vt:lpstr>'Leitura Dados de Vôo'!P1_timestamps_7</vt:lpstr>
      <vt:lpstr>'Leitura Dados de Vôo'!P1_timestamps_8</vt:lpstr>
      <vt:lpstr>'Leitura Dados de Vôo'!P1_timestamps_9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DRAYCON</dc:creator>
  <cp:lastModifiedBy>Rodrigo De Marco</cp:lastModifiedBy>
  <dcterms:created xsi:type="dcterms:W3CDTF">2016-09-10T21:06:40Z</dcterms:created>
  <dcterms:modified xsi:type="dcterms:W3CDTF">2019-03-11T19:46:07Z</dcterms:modified>
</cp:coreProperties>
</file>