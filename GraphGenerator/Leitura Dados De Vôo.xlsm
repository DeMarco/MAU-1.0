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RAYCON\Dropbox\UP\2016\TCC\Implementacao\Firmware\GraphGenerator\"/>
    </mc:Choice>
  </mc:AlternateContent>
  <bookViews>
    <workbookView xWindow="0" yWindow="120" windowWidth="15360" windowHeight="7635" firstSheet="3" activeTab="10"/>
  </bookViews>
  <sheets>
    <sheet name="Modelo Atmosférico" sheetId="31" r:id="rId1"/>
    <sheet name="Leitura Dados de Vôo" sheetId="65" r:id="rId2"/>
    <sheet name="Leitura Dados de Vôo (2)" sheetId="66" r:id="rId3"/>
    <sheet name="T77 - 1" sheetId="67" r:id="rId4"/>
    <sheet name="T77 - 2" sheetId="68" r:id="rId5"/>
    <sheet name="T78 - 1" sheetId="69" r:id="rId6"/>
    <sheet name="T78 - 2" sheetId="70" r:id="rId7"/>
    <sheet name="T79 - 1" sheetId="71" r:id="rId8"/>
    <sheet name="T79 - 2" sheetId="72" r:id="rId9"/>
    <sheet name="T80" sheetId="73" r:id="rId10"/>
    <sheet name="T81" sheetId="74" r:id="rId11"/>
  </sheets>
  <definedNames>
    <definedName name="P1_flight_data_raw" localSheetId="1">'Leitura Dados de Vôo'!$C$8:$C$40</definedName>
    <definedName name="P1_flight_data_raw" localSheetId="2">'Leitura Dados de Vôo (2)'!$C$8:$C$40</definedName>
    <definedName name="P1_flight_data_raw" localSheetId="3">'T77 - 1'!$C$8:$C$40</definedName>
    <definedName name="P1_flight_data_raw" localSheetId="4">'T77 - 2'!$C$8:$C$40</definedName>
    <definedName name="P1_flight_data_raw" localSheetId="5">'T78 - 1'!$C$8:$C$40</definedName>
    <definedName name="P1_flight_data_raw" localSheetId="6">'T78 - 2'!$C$8:$C$40</definedName>
    <definedName name="P1_flight_data_raw" localSheetId="7">'T79 - 1'!$C$8:$C$40</definedName>
    <definedName name="P1_flight_data_raw" localSheetId="8">'T79 - 2'!$C$8:$C$40</definedName>
    <definedName name="P1_flight_data_raw" localSheetId="9">'T80'!$C$8:$C$40</definedName>
    <definedName name="P1_flight_data_raw" localSheetId="10">'T81'!$C$8:$C$40</definedName>
    <definedName name="P1_flight_data_raw_1" localSheetId="1">'Leitura Dados de Vôo'!$C$8:$C$51</definedName>
    <definedName name="P1_flight_data_raw_1" localSheetId="2">'Leitura Dados de Vôo (2)'!$C$8:$C$51</definedName>
    <definedName name="P1_flight_data_raw_1" localSheetId="3">'T77 - 1'!$C$8:$C$51</definedName>
    <definedName name="P1_flight_data_raw_1" localSheetId="4">'T77 - 2'!$C$8:$C$51</definedName>
    <definedName name="P1_flight_data_raw_1" localSheetId="5">'T78 - 1'!$C$8:$C$51</definedName>
    <definedName name="P1_flight_data_raw_1" localSheetId="6">'T78 - 2'!$C$8:$C$51</definedName>
    <definedName name="P1_flight_data_raw_1" localSheetId="7">'T79 - 1'!$C$8:$C$51</definedName>
    <definedName name="P1_flight_data_raw_1" localSheetId="8">'T79 - 2'!$C$8:$C$51</definedName>
    <definedName name="P1_flight_data_raw_1" localSheetId="9">'T80'!$C$8:$C$51</definedName>
    <definedName name="P1_flight_data_raw_1" localSheetId="10">'T81'!$C$8:$C$51</definedName>
    <definedName name="P1_flight_data_raw_10" localSheetId="1">'Leitura Dados de Vôo'!$C$8:$C$36</definedName>
    <definedName name="P1_flight_data_raw_10" localSheetId="2">'Leitura Dados de Vôo (2)'!$C$8:$C$36</definedName>
    <definedName name="P1_flight_data_raw_10" localSheetId="3">'T77 - 1'!$C$8:$C$36</definedName>
    <definedName name="P1_flight_data_raw_10" localSheetId="4">'T77 - 2'!$C$8:$C$36</definedName>
    <definedName name="P1_flight_data_raw_10" localSheetId="5">'T78 - 1'!$C$8:$C$36</definedName>
    <definedName name="P1_flight_data_raw_10" localSheetId="6">'T78 - 2'!$C$8:$C$36</definedName>
    <definedName name="P1_flight_data_raw_10" localSheetId="7">'T79 - 1'!$C$8:$C$36</definedName>
    <definedName name="P1_flight_data_raw_10" localSheetId="8">'T79 - 2'!$C$8:$C$36</definedName>
    <definedName name="P1_flight_data_raw_10" localSheetId="9">'T80'!$C$8:$C$36</definedName>
    <definedName name="P1_flight_data_raw_10" localSheetId="10">'T81'!$C$8:$C$36</definedName>
    <definedName name="P1_flight_data_raw_11" localSheetId="1">'Leitura Dados de Vôo'!$C$8:$C$37</definedName>
    <definedName name="P1_flight_data_raw_11" localSheetId="2">'Leitura Dados de Vôo (2)'!$C$8:$C$37</definedName>
    <definedName name="P1_flight_data_raw_11" localSheetId="3">'T77 - 1'!$C$8:$C$37</definedName>
    <definedName name="P1_flight_data_raw_11" localSheetId="4">'T77 - 2'!$C$8:$C$37</definedName>
    <definedName name="P1_flight_data_raw_11" localSheetId="5">'T78 - 1'!$C$8:$C$37</definedName>
    <definedName name="P1_flight_data_raw_11" localSheetId="6">'T78 - 2'!$C$8:$C$37</definedName>
    <definedName name="P1_flight_data_raw_11" localSheetId="7">'T79 - 1'!$C$8:$C$37</definedName>
    <definedName name="P1_flight_data_raw_11" localSheetId="8">'T79 - 2'!$C$8:$C$37</definedName>
    <definedName name="P1_flight_data_raw_11" localSheetId="9">'T80'!$C$8:$C$37</definedName>
    <definedName name="P1_flight_data_raw_11" localSheetId="10">'T81'!$C$8:$C$37</definedName>
    <definedName name="P1_flight_data_raw_12" localSheetId="1">'Leitura Dados de Vôo'!$C$8:$C$37</definedName>
    <definedName name="P1_flight_data_raw_12" localSheetId="2">'Leitura Dados de Vôo (2)'!$C$8:$C$37</definedName>
    <definedName name="P1_flight_data_raw_12" localSheetId="3">'T77 - 1'!$C$8:$C$37</definedName>
    <definedName name="P1_flight_data_raw_12" localSheetId="4">'T77 - 2'!$C$8:$C$37</definedName>
    <definedName name="P1_flight_data_raw_12" localSheetId="5">'T78 - 1'!$C$8:$C$37</definedName>
    <definedName name="P1_flight_data_raw_12" localSheetId="6">'T78 - 2'!$C$8:$C$37</definedName>
    <definedName name="P1_flight_data_raw_12" localSheetId="7">'T79 - 1'!$C$8:$C$37</definedName>
    <definedName name="P1_flight_data_raw_12" localSheetId="8">'T79 - 2'!$C$8:$C$37</definedName>
    <definedName name="P1_flight_data_raw_12" localSheetId="9">'T80'!$C$8:$C$37</definedName>
    <definedName name="P1_flight_data_raw_12" localSheetId="10">'T81'!$C$8:$C$37</definedName>
    <definedName name="P1_flight_data_raw_13" localSheetId="1">'Leitura Dados de Vôo'!$C$8:$C$35</definedName>
    <definedName name="P1_flight_data_raw_13" localSheetId="2">'Leitura Dados de Vôo (2)'!$C$8:$C$35</definedName>
    <definedName name="P1_flight_data_raw_13" localSheetId="3">'T77 - 1'!$C$8:$C$35</definedName>
    <definedName name="P1_flight_data_raw_13" localSheetId="4">'T77 - 2'!$C$8:$C$35</definedName>
    <definedName name="P1_flight_data_raw_13" localSheetId="5">'T78 - 1'!$C$8:$C$35</definedName>
    <definedName name="P1_flight_data_raw_13" localSheetId="6">'T78 - 2'!$C$8:$C$35</definedName>
    <definedName name="P1_flight_data_raw_13" localSheetId="7">'T79 - 1'!$C$8:$C$35</definedName>
    <definedName name="P1_flight_data_raw_13" localSheetId="8">'T79 - 2'!$C$8:$C$35</definedName>
    <definedName name="P1_flight_data_raw_13" localSheetId="9">'T80'!$C$8:$C$35</definedName>
    <definedName name="P1_flight_data_raw_13" localSheetId="10">'T81'!$C$8:$C$35</definedName>
    <definedName name="P1_flight_data_raw_14" localSheetId="1">'Leitura Dados de Vôo'!$C$8:$C$36</definedName>
    <definedName name="P1_flight_data_raw_14" localSheetId="2">'Leitura Dados de Vôo (2)'!$C$8:$C$36</definedName>
    <definedName name="P1_flight_data_raw_14" localSheetId="3">'T77 - 1'!$C$8:$C$36</definedName>
    <definedName name="P1_flight_data_raw_14" localSheetId="4">'T77 - 2'!$C$8:$C$36</definedName>
    <definedName name="P1_flight_data_raw_14" localSheetId="5">'T78 - 1'!$C$8:$C$36</definedName>
    <definedName name="P1_flight_data_raw_14" localSheetId="6">'T78 - 2'!$C$8:$C$36</definedName>
    <definedName name="P1_flight_data_raw_14" localSheetId="7">'T79 - 1'!$C$8:$C$36</definedName>
    <definedName name="P1_flight_data_raw_14" localSheetId="8">'T79 - 2'!$C$8:$C$36</definedName>
    <definedName name="P1_flight_data_raw_14" localSheetId="9">'T80'!$C$8:$C$36</definedName>
    <definedName name="P1_flight_data_raw_14" localSheetId="10">'T81'!$C$8:$C$36</definedName>
    <definedName name="P1_flight_data_raw_15" localSheetId="1">'Leitura Dados de Vôo'!$C$8:$C$35</definedName>
    <definedName name="P1_flight_data_raw_15" localSheetId="2">'Leitura Dados de Vôo (2)'!$C$8:$C$35</definedName>
    <definedName name="P1_flight_data_raw_15" localSheetId="3">'T77 - 1'!$C$8:$C$35</definedName>
    <definedName name="P1_flight_data_raw_15" localSheetId="4">'T77 - 2'!$C$8:$C$35</definedName>
    <definedName name="P1_flight_data_raw_15" localSheetId="5">'T78 - 1'!$C$8:$C$35</definedName>
    <definedName name="P1_flight_data_raw_15" localSheetId="6">'T78 - 2'!$C$8:$C$35</definedName>
    <definedName name="P1_flight_data_raw_15" localSheetId="7">'T79 - 1'!$C$8:$C$35</definedName>
    <definedName name="P1_flight_data_raw_15" localSheetId="8">'T79 - 2'!$C$8:$C$35</definedName>
    <definedName name="P1_flight_data_raw_15" localSheetId="9">'T80'!$C$8:$C$35</definedName>
    <definedName name="P1_flight_data_raw_15" localSheetId="10">'T81'!$C$8:$C$35</definedName>
    <definedName name="P1_flight_data_raw_16" localSheetId="1">'Leitura Dados de Vôo'!$C$8:$C$34</definedName>
    <definedName name="P1_flight_data_raw_16" localSheetId="2">'Leitura Dados de Vôo (2)'!$C$8:$C$34</definedName>
    <definedName name="P1_flight_data_raw_16" localSheetId="3">'T77 - 1'!$C$8:$C$34</definedName>
    <definedName name="P1_flight_data_raw_16" localSheetId="4">'T77 - 2'!$C$8:$C$34</definedName>
    <definedName name="P1_flight_data_raw_16" localSheetId="5">'T78 - 1'!$C$8:$C$34</definedName>
    <definedName name="P1_flight_data_raw_16" localSheetId="6">'T78 - 2'!$C$8:$C$34</definedName>
    <definedName name="P1_flight_data_raw_16" localSheetId="7">'T79 - 1'!$C$8:$C$34</definedName>
    <definedName name="P1_flight_data_raw_16" localSheetId="8">'T79 - 2'!$C$8:$C$34</definedName>
    <definedName name="P1_flight_data_raw_16" localSheetId="9">'T80'!$C$8:$C$34</definedName>
    <definedName name="P1_flight_data_raw_16" localSheetId="10">'T81'!$C$8:$C$34</definedName>
    <definedName name="P1_flight_data_raw_17" localSheetId="1">'Leitura Dados de Vôo'!$C$8:$C$34</definedName>
    <definedName name="P1_flight_data_raw_17" localSheetId="2">'Leitura Dados de Vôo (2)'!$C$8:$C$34</definedName>
    <definedName name="P1_flight_data_raw_17" localSheetId="3">'T77 - 1'!$C$8:$C$34</definedName>
    <definedName name="P1_flight_data_raw_17" localSheetId="4">'T77 - 2'!$C$8:$C$34</definedName>
    <definedName name="P1_flight_data_raw_17" localSheetId="5">'T78 - 1'!$C$8:$C$34</definedName>
    <definedName name="P1_flight_data_raw_17" localSheetId="6">'T78 - 2'!$C$8:$C$34</definedName>
    <definedName name="P1_flight_data_raw_17" localSheetId="7">'T79 - 1'!$C$8:$C$34</definedName>
    <definedName name="P1_flight_data_raw_17" localSheetId="8">'T79 - 2'!$C$8:$C$34</definedName>
    <definedName name="P1_flight_data_raw_17" localSheetId="9">'T80'!$C$8:$C$34</definedName>
    <definedName name="P1_flight_data_raw_17" localSheetId="10">'T81'!$C$8:$C$34</definedName>
    <definedName name="P1_flight_data_raw_18" localSheetId="1">'Leitura Dados de Vôo'!$C$8:$C$34</definedName>
    <definedName name="P1_flight_data_raw_18" localSheetId="2">'Leitura Dados de Vôo (2)'!$C$8:$C$34</definedName>
    <definedName name="P1_flight_data_raw_18" localSheetId="3">'T77 - 1'!$C$8:$C$34</definedName>
    <definedName name="P1_flight_data_raw_18" localSheetId="4">'T77 - 2'!$C$8:$C$34</definedName>
    <definedName name="P1_flight_data_raw_18" localSheetId="5">'T78 - 1'!$C$8:$C$34</definedName>
    <definedName name="P1_flight_data_raw_18" localSheetId="6">'T78 - 2'!$C$8:$C$34</definedName>
    <definedName name="P1_flight_data_raw_18" localSheetId="7">'T79 - 1'!$C$8:$C$34</definedName>
    <definedName name="P1_flight_data_raw_18" localSheetId="8">'T79 - 2'!$C$8:$C$34</definedName>
    <definedName name="P1_flight_data_raw_18" localSheetId="9">'T80'!$C$8:$C$34</definedName>
    <definedName name="P1_flight_data_raw_18" localSheetId="10">'T81'!$C$8:$C$34</definedName>
    <definedName name="P1_flight_data_raw_19" localSheetId="1">'Leitura Dados de Vôo'!$C$8:$C$35</definedName>
    <definedName name="P1_flight_data_raw_19" localSheetId="2">'Leitura Dados de Vôo (2)'!$C$8:$C$35</definedName>
    <definedName name="P1_flight_data_raw_19" localSheetId="3">'T77 - 1'!$C$8:$C$35</definedName>
    <definedName name="P1_flight_data_raw_19" localSheetId="4">'T77 - 2'!$C$8:$C$35</definedName>
    <definedName name="P1_flight_data_raw_19" localSheetId="5">'T78 - 1'!$C$8:$C$35</definedName>
    <definedName name="P1_flight_data_raw_19" localSheetId="6">'T78 - 2'!$C$8:$C$35</definedName>
    <definedName name="P1_flight_data_raw_19" localSheetId="7">'T79 - 1'!$C$8:$C$35</definedName>
    <definedName name="P1_flight_data_raw_19" localSheetId="8">'T79 - 2'!$C$8:$C$35</definedName>
    <definedName name="P1_flight_data_raw_19" localSheetId="9">'T80'!$C$8:$C$35</definedName>
    <definedName name="P1_flight_data_raw_19" localSheetId="10">'T81'!$C$8:$C$35</definedName>
    <definedName name="P1_flight_data_raw_20" localSheetId="1">'Leitura Dados de Vôo'!$C$8:$C$33</definedName>
    <definedName name="P1_flight_data_raw_20" localSheetId="2">'Leitura Dados de Vôo (2)'!$C$8:$C$33</definedName>
    <definedName name="P1_flight_data_raw_20" localSheetId="3">'T77 - 1'!$C$8:$C$33</definedName>
    <definedName name="P1_flight_data_raw_20" localSheetId="4">'T77 - 2'!$C$8:$C$33</definedName>
    <definedName name="P1_flight_data_raw_20" localSheetId="5">'T78 - 1'!$C$8:$C$33</definedName>
    <definedName name="P1_flight_data_raw_20" localSheetId="6">'T78 - 2'!$C$8:$C$33</definedName>
    <definedName name="P1_flight_data_raw_20" localSheetId="7">'T79 - 1'!$C$8:$C$33</definedName>
    <definedName name="P1_flight_data_raw_20" localSheetId="8">'T79 - 2'!$C$8:$C$33</definedName>
    <definedName name="P1_flight_data_raw_20" localSheetId="9">'T80'!$C$8:$C$33</definedName>
    <definedName name="P1_flight_data_raw_20" localSheetId="10">'T81'!$C$8:$C$33</definedName>
    <definedName name="P1_flight_data_raw_21" localSheetId="1">'Leitura Dados de Vôo'!$C$8:$C$34</definedName>
    <definedName name="P1_flight_data_raw_21" localSheetId="2">'Leitura Dados de Vôo (2)'!$C$8:$C$34</definedName>
    <definedName name="P1_flight_data_raw_21" localSheetId="3">'T77 - 1'!$C$8:$C$34</definedName>
    <definedName name="P1_flight_data_raw_21" localSheetId="4">'T77 - 2'!$C$8:$C$34</definedName>
    <definedName name="P1_flight_data_raw_21" localSheetId="5">'T78 - 1'!$C$8:$C$34</definedName>
    <definedName name="P1_flight_data_raw_21" localSheetId="6">'T78 - 2'!$C$8:$C$34</definedName>
    <definedName name="P1_flight_data_raw_21" localSheetId="7">'T79 - 1'!$C$8:$C$34</definedName>
    <definedName name="P1_flight_data_raw_21" localSheetId="8">'T79 - 2'!$C$8:$C$34</definedName>
    <definedName name="P1_flight_data_raw_21" localSheetId="9">'T80'!$C$8:$C$34</definedName>
    <definedName name="P1_flight_data_raw_21" localSheetId="10">'T81'!$C$8:$C$34</definedName>
    <definedName name="P1_flight_data_raw_22" localSheetId="1">'Leitura Dados de Vôo'!$C$8:$C$34</definedName>
    <definedName name="P1_flight_data_raw_22" localSheetId="2">'Leitura Dados de Vôo (2)'!$C$8:$C$34</definedName>
    <definedName name="P1_flight_data_raw_22" localSheetId="3">'T77 - 1'!$C$8:$C$34</definedName>
    <definedName name="P1_flight_data_raw_22" localSheetId="4">'T77 - 2'!$C$8:$C$34</definedName>
    <definedName name="P1_flight_data_raw_22" localSheetId="5">'T78 - 1'!$C$8:$C$34</definedName>
    <definedName name="P1_flight_data_raw_22" localSheetId="6">'T78 - 2'!$C$8:$C$34</definedName>
    <definedName name="P1_flight_data_raw_22" localSheetId="7">'T79 - 1'!$C$8:$C$34</definedName>
    <definedName name="P1_flight_data_raw_22" localSheetId="8">'T79 - 2'!$C$8:$C$34</definedName>
    <definedName name="P1_flight_data_raw_22" localSheetId="9">'T80'!$C$8:$C$34</definedName>
    <definedName name="P1_flight_data_raw_22" localSheetId="10">'T81'!$C$8:$C$34</definedName>
    <definedName name="P1_flight_data_raw_23" localSheetId="1">'Leitura Dados de Vôo'!$C$8:$C$40</definedName>
    <definedName name="P1_flight_data_raw_23" localSheetId="2">'Leitura Dados de Vôo (2)'!$C$8:$C$40</definedName>
    <definedName name="P1_flight_data_raw_23" localSheetId="3">'T77 - 1'!$C$8:$C$40</definedName>
    <definedName name="P1_flight_data_raw_23" localSheetId="4">'T77 - 2'!$C$8:$C$40</definedName>
    <definedName name="P1_flight_data_raw_23" localSheetId="5">'T78 - 1'!$C$8:$C$40</definedName>
    <definedName name="P1_flight_data_raw_23" localSheetId="6">'T78 - 2'!$C$8:$C$40</definedName>
    <definedName name="P1_flight_data_raw_23" localSheetId="7">'T79 - 1'!$C$8:$C$40</definedName>
    <definedName name="P1_flight_data_raw_23" localSheetId="8">'T79 - 2'!$C$8:$C$40</definedName>
    <definedName name="P1_flight_data_raw_23" localSheetId="9">'T80'!$C$8:$C$40</definedName>
    <definedName name="P1_flight_data_raw_23" localSheetId="10">'T81'!$C$8:$C$40</definedName>
    <definedName name="P1_flight_data_raw_24" localSheetId="1">'Leitura Dados de Vôo'!$C$8:$C$34</definedName>
    <definedName name="P1_flight_data_raw_24" localSheetId="2">'Leitura Dados de Vôo (2)'!$C$8:$C$34</definedName>
    <definedName name="P1_flight_data_raw_24" localSheetId="3">'T77 - 1'!$C$8:$C$34</definedName>
    <definedName name="P1_flight_data_raw_24" localSheetId="4">'T77 - 2'!$C$8:$C$34</definedName>
    <definedName name="P1_flight_data_raw_24" localSheetId="5">'T78 - 1'!$C$8:$C$34</definedName>
    <definedName name="P1_flight_data_raw_24" localSheetId="6">'T78 - 2'!$C$8:$C$34</definedName>
    <definedName name="P1_flight_data_raw_24" localSheetId="7">'T79 - 1'!$C$8:$C$34</definedName>
    <definedName name="P1_flight_data_raw_24" localSheetId="8">'T79 - 2'!$C$8:$C$34</definedName>
    <definedName name="P1_flight_data_raw_24" localSheetId="9">'T80'!$C$8:$C$34</definedName>
    <definedName name="P1_flight_data_raw_24" localSheetId="10">'T81'!$C$8:$C$34</definedName>
    <definedName name="P1_flight_data_raw_25" localSheetId="1">'Leitura Dados de Vôo'!$C$8:$C$38</definedName>
    <definedName name="P1_flight_data_raw_25" localSheetId="2">'Leitura Dados de Vôo (2)'!$C$8:$C$38</definedName>
    <definedName name="P1_flight_data_raw_25" localSheetId="3">'T77 - 1'!$C$8:$C$38</definedName>
    <definedName name="P1_flight_data_raw_25" localSheetId="4">'T77 - 2'!$C$8:$C$38</definedName>
    <definedName name="P1_flight_data_raw_25" localSheetId="5">'T78 - 1'!$C$8:$C$38</definedName>
    <definedName name="P1_flight_data_raw_25" localSheetId="6">'T78 - 2'!$C$8:$C$38</definedName>
    <definedName name="P1_flight_data_raw_25" localSheetId="7">'T79 - 1'!$C$8:$C$38</definedName>
    <definedName name="P1_flight_data_raw_25" localSheetId="8">'T79 - 2'!$C$8:$C$38</definedName>
    <definedName name="P1_flight_data_raw_25" localSheetId="9">'T80'!$C$8:$C$38</definedName>
    <definedName name="P1_flight_data_raw_25" localSheetId="10">'T81'!$C$8:$C$38</definedName>
    <definedName name="P1_flight_data_raw_26" localSheetId="1">'Leitura Dados de Vôo'!$C$8:$C$38</definedName>
    <definedName name="P1_flight_data_raw_26" localSheetId="2">'Leitura Dados de Vôo (2)'!$C$8:$C$38</definedName>
    <definedName name="P1_flight_data_raw_26" localSheetId="3">'T77 - 1'!$C$8:$C$38</definedName>
    <definedName name="P1_flight_data_raw_26" localSheetId="4">'T77 - 2'!$C$8:$C$38</definedName>
    <definedName name="P1_flight_data_raw_26" localSheetId="5">'T78 - 1'!$C$8:$C$38</definedName>
    <definedName name="P1_flight_data_raw_26" localSheetId="6">'T78 - 2'!$C$8:$C$38</definedName>
    <definedName name="P1_flight_data_raw_26" localSheetId="7">'T79 - 1'!$C$8:$C$38</definedName>
    <definedName name="P1_flight_data_raw_26" localSheetId="8">'T79 - 2'!$C$8:$C$38</definedName>
    <definedName name="P1_flight_data_raw_26" localSheetId="9">'T80'!$C$8:$C$38</definedName>
    <definedName name="P1_flight_data_raw_26" localSheetId="10">'T81'!$C$8:$C$38</definedName>
    <definedName name="P1_flight_data_raw_27" localSheetId="1">'Leitura Dados de Vôo'!$C$8:$C$36</definedName>
    <definedName name="P1_flight_data_raw_27" localSheetId="2">'Leitura Dados de Vôo (2)'!$C$8:$C$36</definedName>
    <definedName name="P1_flight_data_raw_27" localSheetId="3">'T77 - 1'!$C$8:$C$36</definedName>
    <definedName name="P1_flight_data_raw_27" localSheetId="4">'T77 - 2'!$C$8:$C$36</definedName>
    <definedName name="P1_flight_data_raw_27" localSheetId="5">'T78 - 1'!$C$8:$C$36</definedName>
    <definedName name="P1_flight_data_raw_27" localSheetId="6">'T78 - 2'!$C$8:$C$36</definedName>
    <definedName name="P1_flight_data_raw_27" localSheetId="7">'T79 - 1'!$C$8:$C$36</definedName>
    <definedName name="P1_flight_data_raw_27" localSheetId="8">'T79 - 2'!$C$8:$C$36</definedName>
    <definedName name="P1_flight_data_raw_27" localSheetId="9">'T80'!$C$8:$C$36</definedName>
    <definedName name="P1_flight_data_raw_27" localSheetId="10">'T81'!$C$8:$C$36</definedName>
    <definedName name="P1_flight_data_raw_28" localSheetId="1">'Leitura Dados de Vôo'!$C$8:$C$38</definedName>
    <definedName name="P1_flight_data_raw_28" localSheetId="2">'Leitura Dados de Vôo (2)'!$C$8:$C$38</definedName>
    <definedName name="P1_flight_data_raw_28" localSheetId="3">'T77 - 1'!$C$8:$C$38</definedName>
    <definedName name="P1_flight_data_raw_28" localSheetId="4">'T77 - 2'!$C$8:$C$38</definedName>
    <definedName name="P1_flight_data_raw_28" localSheetId="5">'T78 - 1'!$C$8:$C$38</definedName>
    <definedName name="P1_flight_data_raw_28" localSheetId="6">'T78 - 2'!$C$8:$C$38</definedName>
    <definedName name="P1_flight_data_raw_28" localSheetId="7">'T79 - 1'!$C$8:$C$38</definedName>
    <definedName name="P1_flight_data_raw_28" localSheetId="8">'T79 - 2'!$C$8:$C$38</definedName>
    <definedName name="P1_flight_data_raw_28" localSheetId="9">'T80'!$C$8:$C$38</definedName>
    <definedName name="P1_flight_data_raw_28" localSheetId="10">'T81'!$C$8:$C$38</definedName>
    <definedName name="P1_flight_data_raw_29" localSheetId="1">'Leitura Dados de Vôo'!$C$8:$C$35</definedName>
    <definedName name="P1_flight_data_raw_29" localSheetId="2">'Leitura Dados de Vôo (2)'!$C$8:$C$35</definedName>
    <definedName name="P1_flight_data_raw_29" localSheetId="3">'T77 - 1'!$C$8:$C$35</definedName>
    <definedName name="P1_flight_data_raw_29" localSheetId="4">'T77 - 2'!$C$8:$C$35</definedName>
    <definedName name="P1_flight_data_raw_29" localSheetId="5">'T78 - 1'!$C$8:$C$35</definedName>
    <definedName name="P1_flight_data_raw_29" localSheetId="6">'T78 - 2'!$C$8:$C$35</definedName>
    <definedName name="P1_flight_data_raw_29" localSheetId="7">'T79 - 1'!$C$8:$C$35</definedName>
    <definedName name="P1_flight_data_raw_29" localSheetId="8">'T79 - 2'!$C$8:$C$35</definedName>
    <definedName name="P1_flight_data_raw_29" localSheetId="9">'T80'!$C$8:$C$35</definedName>
    <definedName name="P1_flight_data_raw_29" localSheetId="10">'T81'!$C$8:$C$35</definedName>
    <definedName name="P1_flight_data_raw_3" localSheetId="1">'Leitura Dados de Vôo'!$C$8:$C$42</definedName>
    <definedName name="P1_flight_data_raw_3" localSheetId="2">'Leitura Dados de Vôo (2)'!$C$8:$C$42</definedName>
    <definedName name="P1_flight_data_raw_3" localSheetId="3">'T77 - 1'!$C$8:$C$42</definedName>
    <definedName name="P1_flight_data_raw_3" localSheetId="4">'T77 - 2'!$C$8:$C$42</definedName>
    <definedName name="P1_flight_data_raw_3" localSheetId="5">'T78 - 1'!$C$8:$C$42</definedName>
    <definedName name="P1_flight_data_raw_3" localSheetId="6">'T78 - 2'!$C$8:$C$42</definedName>
    <definedName name="P1_flight_data_raw_3" localSheetId="7">'T79 - 1'!$C$8:$C$42</definedName>
    <definedName name="P1_flight_data_raw_3" localSheetId="8">'T79 - 2'!$C$8:$C$42</definedName>
    <definedName name="P1_flight_data_raw_3" localSheetId="9">'T80'!$C$8:$C$42</definedName>
    <definedName name="P1_flight_data_raw_3" localSheetId="10">'T81'!$C$8:$C$42</definedName>
    <definedName name="P1_flight_data_raw_30" localSheetId="1">'Leitura Dados de Vôo'!$C$8:$C$37</definedName>
    <definedName name="P1_flight_data_raw_30" localSheetId="2">'Leitura Dados de Vôo (2)'!$C$8:$C$37</definedName>
    <definedName name="P1_flight_data_raw_30" localSheetId="3">'T77 - 1'!$C$8:$C$37</definedName>
    <definedName name="P1_flight_data_raw_30" localSheetId="4">'T77 - 2'!$C$8:$C$37</definedName>
    <definedName name="P1_flight_data_raw_30" localSheetId="5">'T78 - 1'!$C$8:$C$37</definedName>
    <definedName name="P1_flight_data_raw_30" localSheetId="6">'T78 - 2'!$C$8:$C$37</definedName>
    <definedName name="P1_flight_data_raw_30" localSheetId="7">'T79 - 1'!$C$8:$C$37</definedName>
    <definedName name="P1_flight_data_raw_30" localSheetId="8">'T79 - 2'!$C$8:$C$37</definedName>
    <definedName name="P1_flight_data_raw_30" localSheetId="9">'T80'!$C$8:$C$37</definedName>
    <definedName name="P1_flight_data_raw_30" localSheetId="10">'T81'!$C$8:$C$37</definedName>
    <definedName name="P1_flight_data_raw_31" localSheetId="1">'Leitura Dados de Vôo'!$C$8:$C$9</definedName>
    <definedName name="P1_flight_data_raw_31" localSheetId="2">'Leitura Dados de Vôo (2)'!$C$8:$C$9</definedName>
    <definedName name="P1_flight_data_raw_31" localSheetId="3">'T77 - 1'!$C$8:$C$9</definedName>
    <definedName name="P1_flight_data_raw_31" localSheetId="4">'T77 - 2'!$C$8:$C$9</definedName>
    <definedName name="P1_flight_data_raw_31" localSheetId="5">'T78 - 1'!$C$8:$C$9</definedName>
    <definedName name="P1_flight_data_raw_31" localSheetId="6">'T78 - 2'!$C$8:$C$9</definedName>
    <definedName name="P1_flight_data_raw_31" localSheetId="7">'T79 - 1'!$C$8:$C$9</definedName>
    <definedName name="P1_flight_data_raw_31" localSheetId="8">'T79 - 2'!$C$8:$C$9</definedName>
    <definedName name="P1_flight_data_raw_31" localSheetId="9">'T80'!$C$8:$C$9</definedName>
    <definedName name="P1_flight_data_raw_31" localSheetId="10">'T81'!$C$8:$C$9</definedName>
    <definedName name="P1_flight_data_raw_32" localSheetId="1">'Leitura Dados de Vôo'!$C$8:$C$9</definedName>
    <definedName name="P1_flight_data_raw_32" localSheetId="2">'Leitura Dados de Vôo (2)'!$C$8:$C$9</definedName>
    <definedName name="P1_flight_data_raw_32" localSheetId="3">'T77 - 1'!$C$8:$C$9</definedName>
    <definedName name="P1_flight_data_raw_32" localSheetId="4">'T77 - 2'!$C$8:$C$9</definedName>
    <definedName name="P1_flight_data_raw_32" localSheetId="5">'T78 - 1'!$C$8:$C$9</definedName>
    <definedName name="P1_flight_data_raw_32" localSheetId="6">'T78 - 2'!$C$8:$C$9</definedName>
    <definedName name="P1_flight_data_raw_32" localSheetId="7">'T79 - 1'!$C$8:$C$9</definedName>
    <definedName name="P1_flight_data_raw_32" localSheetId="8">'T79 - 2'!$C$8:$C$9</definedName>
    <definedName name="P1_flight_data_raw_32" localSheetId="9">'T80'!$C$8:$C$9</definedName>
    <definedName name="P1_flight_data_raw_32" localSheetId="10">'T81'!$C$8:$C$9</definedName>
    <definedName name="P1_flight_data_raw_33" localSheetId="1">'Leitura Dados de Vôo'!$C$8:$C$9</definedName>
    <definedName name="P1_flight_data_raw_33" localSheetId="2">'Leitura Dados de Vôo (2)'!$C$8:$C$9</definedName>
    <definedName name="P1_flight_data_raw_33" localSheetId="3">'T77 - 1'!$C$8:$C$9</definedName>
    <definedName name="P1_flight_data_raw_33" localSheetId="4">'T77 - 2'!$C$8:$C$9</definedName>
    <definedName name="P1_flight_data_raw_33" localSheetId="5">'T78 - 1'!$C$8:$C$9</definedName>
    <definedName name="P1_flight_data_raw_33" localSheetId="6">'T78 - 2'!$C$8:$C$9</definedName>
    <definedName name="P1_flight_data_raw_33" localSheetId="7">'T79 - 1'!$C$8:$C$9</definedName>
    <definedName name="P1_flight_data_raw_33" localSheetId="8">'T79 - 2'!$C$8:$C$9</definedName>
    <definedName name="P1_flight_data_raw_33" localSheetId="9">'T80'!$C$8:$C$9</definedName>
    <definedName name="P1_flight_data_raw_33" localSheetId="10">'T81'!$C$8:$C$9</definedName>
    <definedName name="P1_flight_data_raw_34" localSheetId="1">'Leitura Dados de Vôo'!$C$8:$C$9</definedName>
    <definedName name="P1_flight_data_raw_34" localSheetId="2">'Leitura Dados de Vôo (2)'!$C$8:$C$9</definedName>
    <definedName name="P1_flight_data_raw_34" localSheetId="3">'T77 - 1'!$C$8:$C$9</definedName>
    <definedName name="P1_flight_data_raw_34" localSheetId="4">'T77 - 2'!$C$8:$C$9</definedName>
    <definedName name="P1_flight_data_raw_34" localSheetId="5">'T78 - 1'!$C$8:$C$9</definedName>
    <definedName name="P1_flight_data_raw_34" localSheetId="6">'T78 - 2'!$C$8:$C$9</definedName>
    <definedName name="P1_flight_data_raw_34" localSheetId="7">'T79 - 1'!$C$8:$C$9</definedName>
    <definedName name="P1_flight_data_raw_34" localSheetId="8">'T79 - 2'!$C$8:$C$9</definedName>
    <definedName name="P1_flight_data_raw_34" localSheetId="9">'T80'!$C$8:$C$9</definedName>
    <definedName name="P1_flight_data_raw_34" localSheetId="10">'T81'!$C$8:$C$9</definedName>
    <definedName name="P1_flight_data_raw_35" localSheetId="1">'Leitura Dados de Vôo'!$C$8:$C$9</definedName>
    <definedName name="P1_flight_data_raw_35" localSheetId="2">'Leitura Dados de Vôo (2)'!$C$8:$C$9</definedName>
    <definedName name="P1_flight_data_raw_35" localSheetId="3">'T77 - 1'!$C$8:$C$9</definedName>
    <definedName name="P1_flight_data_raw_35" localSheetId="4">'T77 - 2'!$C$8:$C$9</definedName>
    <definedName name="P1_flight_data_raw_35" localSheetId="5">'T78 - 1'!$C$8:$C$9</definedName>
    <definedName name="P1_flight_data_raw_35" localSheetId="6">'T78 - 2'!$C$8:$C$9</definedName>
    <definedName name="P1_flight_data_raw_35" localSheetId="7">'T79 - 1'!$C$8:$C$9</definedName>
    <definedName name="P1_flight_data_raw_35" localSheetId="8">'T79 - 2'!$C$8:$C$9</definedName>
    <definedName name="P1_flight_data_raw_35" localSheetId="9">'T80'!$C$8:$C$9</definedName>
    <definedName name="P1_flight_data_raw_35" localSheetId="10">'T81'!$C$8:$C$9</definedName>
    <definedName name="P1_flight_data_raw_36" localSheetId="1">'Leitura Dados de Vôo'!$C$8:$C$9</definedName>
    <definedName name="P1_flight_data_raw_36" localSheetId="2">'Leitura Dados de Vôo (2)'!$C$8:$C$9</definedName>
    <definedName name="P1_flight_data_raw_36" localSheetId="3">'T77 - 1'!$C$8:$C$9</definedName>
    <definedName name="P1_flight_data_raw_36" localSheetId="4">'T77 - 2'!$C$8:$C$9</definedName>
    <definedName name="P1_flight_data_raw_36" localSheetId="5">'T78 - 1'!$C$8:$C$9</definedName>
    <definedName name="P1_flight_data_raw_36" localSheetId="6">'T78 - 2'!$C$8:$C$9</definedName>
    <definedName name="P1_flight_data_raw_36" localSheetId="7">'T79 - 1'!$C$8:$C$9</definedName>
    <definedName name="P1_flight_data_raw_36" localSheetId="8">'T79 - 2'!$C$8:$C$9</definedName>
    <definedName name="P1_flight_data_raw_36" localSheetId="9">'T80'!$C$8:$C$9</definedName>
    <definedName name="P1_flight_data_raw_36" localSheetId="10">'T81'!$C$8:$C$9</definedName>
    <definedName name="P1_flight_data_raw_37" localSheetId="1">'Leitura Dados de Vôo'!$C$8:$C$38</definedName>
    <definedName name="P1_flight_data_raw_37" localSheetId="2">'Leitura Dados de Vôo (2)'!$C$8:$C$38</definedName>
    <definedName name="P1_flight_data_raw_37" localSheetId="3">'T77 - 1'!$C$8:$C$38</definedName>
    <definedName name="P1_flight_data_raw_37" localSheetId="4">'T77 - 2'!$C$8:$C$38</definedName>
    <definedName name="P1_flight_data_raw_37" localSheetId="5">'T78 - 1'!$C$8:$C$38</definedName>
    <definedName name="P1_flight_data_raw_37" localSheetId="6">'T78 - 2'!$C$8:$C$38</definedName>
    <definedName name="P1_flight_data_raw_37" localSheetId="7">'T79 - 1'!$C$8:$C$38</definedName>
    <definedName name="P1_flight_data_raw_37" localSheetId="8">'T79 - 2'!$C$8:$C$38</definedName>
    <definedName name="P1_flight_data_raw_37" localSheetId="9">'T80'!$C$8:$C$38</definedName>
    <definedName name="P1_flight_data_raw_37" localSheetId="10">'T81'!$C$8:$C$38</definedName>
    <definedName name="P1_flight_data_raw_38" localSheetId="1">'Leitura Dados de Vôo'!$C$8:$C$40</definedName>
    <definedName name="P1_flight_data_raw_38" localSheetId="2">'Leitura Dados de Vôo (2)'!$C$8:$C$40</definedName>
    <definedName name="P1_flight_data_raw_38" localSheetId="3">'T77 - 1'!$C$8:$C$40</definedName>
    <definedName name="P1_flight_data_raw_38" localSheetId="4">'T77 - 2'!$C$8:$C$40</definedName>
    <definedName name="P1_flight_data_raw_38" localSheetId="5">'T78 - 1'!$C$8:$C$40</definedName>
    <definedName name="P1_flight_data_raw_38" localSheetId="6">'T78 - 2'!$C$8:$C$40</definedName>
    <definedName name="P1_flight_data_raw_38" localSheetId="7">'T79 - 1'!$C$8:$C$40</definedName>
    <definedName name="P1_flight_data_raw_38" localSheetId="8">'T79 - 2'!$C$8:$C$40</definedName>
    <definedName name="P1_flight_data_raw_38" localSheetId="9">'T80'!$C$8:$C$40</definedName>
    <definedName name="P1_flight_data_raw_38" localSheetId="10">'T81'!$C$8:$C$40</definedName>
    <definedName name="P1_flight_data_raw_39" localSheetId="1">'Leitura Dados de Vôo'!$C$8:$C$9</definedName>
    <definedName name="P1_flight_data_raw_39" localSheetId="2">'Leitura Dados de Vôo (2)'!$C$8:$C$9</definedName>
    <definedName name="P1_flight_data_raw_39" localSheetId="3">'T77 - 1'!$C$8:$C$9</definedName>
    <definedName name="P1_flight_data_raw_39" localSheetId="4">'T77 - 2'!$C$8:$C$9</definedName>
    <definedName name="P1_flight_data_raw_39" localSheetId="5">'T78 - 1'!$C$8:$C$9</definedName>
    <definedName name="P1_flight_data_raw_39" localSheetId="6">'T78 - 2'!$C$8:$C$9</definedName>
    <definedName name="P1_flight_data_raw_39" localSheetId="7">'T79 - 1'!$C$8:$C$9</definedName>
    <definedName name="P1_flight_data_raw_39" localSheetId="8">'T79 - 2'!$C$8:$C$9</definedName>
    <definedName name="P1_flight_data_raw_39" localSheetId="9">'T80'!$C$8:$C$9</definedName>
    <definedName name="P1_flight_data_raw_39" localSheetId="10">'T81'!$C$8:$C$9</definedName>
    <definedName name="P1_flight_data_raw_4" localSheetId="1">'Leitura Dados de Vôo'!$C$8:$C$42</definedName>
    <definedName name="P1_flight_data_raw_4" localSheetId="2">'Leitura Dados de Vôo (2)'!$C$8:$C$42</definedName>
    <definedName name="P1_flight_data_raw_4" localSheetId="3">'T77 - 1'!$C$8:$C$42</definedName>
    <definedName name="P1_flight_data_raw_4" localSheetId="4">'T77 - 2'!$C$8:$C$42</definedName>
    <definedName name="P1_flight_data_raw_4" localSheetId="5">'T78 - 1'!$C$8:$C$42</definedName>
    <definedName name="P1_flight_data_raw_4" localSheetId="6">'T78 - 2'!$C$8:$C$42</definedName>
    <definedName name="P1_flight_data_raw_4" localSheetId="7">'T79 - 1'!$C$8:$C$42</definedName>
    <definedName name="P1_flight_data_raw_4" localSheetId="8">'T79 - 2'!$C$8:$C$42</definedName>
    <definedName name="P1_flight_data_raw_4" localSheetId="9">'T80'!$C$8:$C$42</definedName>
    <definedName name="P1_flight_data_raw_4" localSheetId="10">'T81'!$C$8:$C$42</definedName>
    <definedName name="P1_flight_data_raw_40" localSheetId="1">'Leitura Dados de Vôo'!$C$8:$C$87</definedName>
    <definedName name="P1_flight_data_raw_40" localSheetId="2">'Leitura Dados de Vôo (2)'!$C$8:$C$87</definedName>
    <definedName name="P1_flight_data_raw_40" localSheetId="3">'T77 - 1'!$C$8:$C$87</definedName>
    <definedName name="P1_flight_data_raw_40" localSheetId="4">'T77 - 2'!$C$8:$C$87</definedName>
    <definedName name="P1_flight_data_raw_40" localSheetId="5">'T78 - 1'!$C$8:$C$87</definedName>
    <definedName name="P1_flight_data_raw_40" localSheetId="6">'T78 - 2'!$C$8:$C$87</definedName>
    <definedName name="P1_flight_data_raw_40" localSheetId="7">'T79 - 1'!$C$8:$C$87</definedName>
    <definedName name="P1_flight_data_raw_40" localSheetId="8">'T79 - 2'!$C$8:$C$87</definedName>
    <definedName name="P1_flight_data_raw_40" localSheetId="9">'T80'!$C$8:$C$87</definedName>
    <definedName name="P1_flight_data_raw_40" localSheetId="10">'T81'!$C$8:$C$87</definedName>
    <definedName name="P1_flight_data_raw_41" localSheetId="1">'Leitura Dados de Vôo'!$C$8:$C$87</definedName>
    <definedName name="P1_flight_data_raw_41" localSheetId="2">'Leitura Dados de Vôo (2)'!$C$8:$C$87</definedName>
    <definedName name="P1_flight_data_raw_41" localSheetId="3">'T77 - 1'!$C$8:$C$87</definedName>
    <definedName name="P1_flight_data_raw_41" localSheetId="4">'T77 - 2'!$C$8:$C$87</definedName>
    <definedName name="P1_flight_data_raw_41" localSheetId="5">'T78 - 1'!$C$8:$C$87</definedName>
    <definedName name="P1_flight_data_raw_41" localSheetId="6">'T78 - 2'!$C$8:$C$87</definedName>
    <definedName name="P1_flight_data_raw_41" localSheetId="7">'T79 - 1'!$C$8:$C$87</definedName>
    <definedName name="P1_flight_data_raw_41" localSheetId="8">'T79 - 2'!$C$8:$C$87</definedName>
    <definedName name="P1_flight_data_raw_41" localSheetId="9">'T80'!$C$8:$C$87</definedName>
    <definedName name="P1_flight_data_raw_41" localSheetId="10">'T81'!$C$8:$C$87</definedName>
    <definedName name="P1_flight_data_raw_42" localSheetId="1">'Leitura Dados de Vôo'!$C$8:$C$34</definedName>
    <definedName name="P1_flight_data_raw_42" localSheetId="2">'Leitura Dados de Vôo (2)'!$C$8:$C$34</definedName>
    <definedName name="P1_flight_data_raw_42" localSheetId="3">'T77 - 1'!$C$8:$C$34</definedName>
    <definedName name="P1_flight_data_raw_42" localSheetId="4">'T77 - 2'!$C$8:$C$34</definedName>
    <definedName name="P1_flight_data_raw_42" localSheetId="5">'T78 - 1'!$C$8:$C$34</definedName>
    <definedName name="P1_flight_data_raw_42" localSheetId="6">'T78 - 2'!$C$8:$C$34</definedName>
    <definedName name="P1_flight_data_raw_42" localSheetId="7">'T79 - 1'!$C$8:$C$34</definedName>
    <definedName name="P1_flight_data_raw_42" localSheetId="8">'T79 - 2'!$C$8:$C$34</definedName>
    <definedName name="P1_flight_data_raw_42" localSheetId="9">'T80'!$C$8:$C$34</definedName>
    <definedName name="P1_flight_data_raw_42" localSheetId="10">'T81'!$C$8:$C$34</definedName>
    <definedName name="P1_flight_data_raw_43" localSheetId="1">'Leitura Dados de Vôo'!$C$8:$C$41</definedName>
    <definedName name="P1_flight_data_raw_43" localSheetId="2">'Leitura Dados de Vôo (2)'!$C$8:$C$41</definedName>
    <definedName name="P1_flight_data_raw_43" localSheetId="3">'T77 - 1'!$C$8:$C$41</definedName>
    <definedName name="P1_flight_data_raw_43" localSheetId="4">'T77 - 2'!$C$8:$C$41</definedName>
    <definedName name="P1_flight_data_raw_43" localSheetId="5">'T78 - 1'!$C$8:$C$41</definedName>
    <definedName name="P1_flight_data_raw_43" localSheetId="6">'T78 - 2'!$C$8:$C$41</definedName>
    <definedName name="P1_flight_data_raw_43" localSheetId="7">'T79 - 1'!$C$8:$C$41</definedName>
    <definedName name="P1_flight_data_raw_43" localSheetId="8">'T79 - 2'!$C$8:$C$41</definedName>
    <definedName name="P1_flight_data_raw_43" localSheetId="9">'T80'!$C$8:$C$41</definedName>
    <definedName name="P1_flight_data_raw_43" localSheetId="10">'T81'!$C$8:$C$41</definedName>
    <definedName name="P1_flight_data_raw_44" localSheetId="1">'Leitura Dados de Vôo'!$C$8:$C$37</definedName>
    <definedName name="P1_flight_data_raw_44" localSheetId="2">'Leitura Dados de Vôo (2)'!$C$8:$C$37</definedName>
    <definedName name="P1_flight_data_raw_44" localSheetId="3">'T77 - 1'!$C$8:$C$37</definedName>
    <definedName name="P1_flight_data_raw_44" localSheetId="4">'T77 - 2'!$C$8:$C$37</definedName>
    <definedName name="P1_flight_data_raw_44" localSheetId="5">'T78 - 1'!$C$8:$C$37</definedName>
    <definedName name="P1_flight_data_raw_44" localSheetId="6">'T78 - 2'!$C$8:$C$37</definedName>
    <definedName name="P1_flight_data_raw_44" localSheetId="7">'T79 - 1'!$C$8:$C$37</definedName>
    <definedName name="P1_flight_data_raw_44" localSheetId="8">'T79 - 2'!$C$8:$C$37</definedName>
    <definedName name="P1_flight_data_raw_44" localSheetId="9">'T80'!$C$8:$C$37</definedName>
    <definedName name="P1_flight_data_raw_44" localSheetId="10">'T81'!$C$8:$C$37</definedName>
    <definedName name="P1_flight_data_raw_45" localSheetId="1">'Leitura Dados de Vôo'!$C$8:$C$37</definedName>
    <definedName name="P1_flight_data_raw_45" localSheetId="2">'Leitura Dados de Vôo (2)'!$C$8:$C$37</definedName>
    <definedName name="P1_flight_data_raw_45" localSheetId="3">'T77 - 1'!$C$8:$C$37</definedName>
    <definedName name="P1_flight_data_raw_45" localSheetId="4">'T77 - 2'!$C$8:$C$37</definedName>
    <definedName name="P1_flight_data_raw_45" localSheetId="5">'T78 - 1'!$C$8:$C$37</definedName>
    <definedName name="P1_flight_data_raw_45" localSheetId="6">'T78 - 2'!$C$8:$C$37</definedName>
    <definedName name="P1_flight_data_raw_45" localSheetId="7">'T79 - 1'!$C$8:$C$37</definedName>
    <definedName name="P1_flight_data_raw_45" localSheetId="8">'T79 - 2'!$C$8:$C$37</definedName>
    <definedName name="P1_flight_data_raw_45" localSheetId="9">'T80'!$C$8:$C$37</definedName>
    <definedName name="P1_flight_data_raw_45" localSheetId="10">'T81'!$C$8:$C$37</definedName>
    <definedName name="P1_flight_data_raw_46" localSheetId="1">'Leitura Dados de Vôo'!$C$8:$C$39</definedName>
    <definedName name="P1_flight_data_raw_46" localSheetId="2">'Leitura Dados de Vôo (2)'!$C$8:$C$39</definedName>
    <definedName name="P1_flight_data_raw_46" localSheetId="3">'T77 - 1'!$C$8:$C$39</definedName>
    <definedName name="P1_flight_data_raw_46" localSheetId="4">'T77 - 2'!$C$8:$C$39</definedName>
    <definedName name="P1_flight_data_raw_46" localSheetId="5">'T78 - 1'!$C$8:$C$39</definedName>
    <definedName name="P1_flight_data_raw_46" localSheetId="6">'T78 - 2'!$C$8:$C$39</definedName>
    <definedName name="P1_flight_data_raw_46" localSheetId="7">'T79 - 1'!$C$8:$C$39</definedName>
    <definedName name="P1_flight_data_raw_46" localSheetId="8">'T79 - 2'!$C$8:$C$39</definedName>
    <definedName name="P1_flight_data_raw_46" localSheetId="9">'T80'!$C$8:$C$39</definedName>
    <definedName name="P1_flight_data_raw_46" localSheetId="10">'T81'!$C$8:$C$39</definedName>
    <definedName name="P1_flight_data_raw_47" localSheetId="1">'Leitura Dados de Vôo'!$C$8:$C$39</definedName>
    <definedName name="P1_flight_data_raw_47" localSheetId="2">'Leitura Dados de Vôo (2)'!$C$8:$C$39</definedName>
    <definedName name="P1_flight_data_raw_47" localSheetId="3">'T77 - 1'!$C$8:$C$39</definedName>
    <definedName name="P1_flight_data_raw_47" localSheetId="4">'T77 - 2'!$C$8:$C$39</definedName>
    <definedName name="P1_flight_data_raw_47" localSheetId="5">'T78 - 1'!$C$8:$C$39</definedName>
    <definedName name="P1_flight_data_raw_47" localSheetId="6">'T78 - 2'!$C$8:$C$39</definedName>
    <definedName name="P1_flight_data_raw_47" localSheetId="7">'T79 - 1'!$C$8:$C$39</definedName>
    <definedName name="P1_flight_data_raw_47" localSheetId="8">'T79 - 2'!$C$8:$C$39</definedName>
    <definedName name="P1_flight_data_raw_47" localSheetId="9">'T80'!$C$8:$C$39</definedName>
    <definedName name="P1_flight_data_raw_47" localSheetId="10">'T81'!$C$8:$C$39</definedName>
    <definedName name="P1_flight_data_raw_48" localSheetId="1">'Leitura Dados de Vôo'!$C$8:$C$39</definedName>
    <definedName name="P1_flight_data_raw_48" localSheetId="2">'Leitura Dados de Vôo (2)'!$C$8:$C$39</definedName>
    <definedName name="P1_flight_data_raw_48" localSheetId="3">'T77 - 1'!$C$8:$C$39</definedName>
    <definedName name="P1_flight_data_raw_48" localSheetId="4">'T77 - 2'!$C$8:$C$39</definedName>
    <definedName name="P1_flight_data_raw_48" localSheetId="5">'T78 - 1'!$C$8:$C$39</definedName>
    <definedName name="P1_flight_data_raw_48" localSheetId="6">'T78 - 2'!$C$8:$C$39</definedName>
    <definedName name="P1_flight_data_raw_48" localSheetId="7">'T79 - 1'!$C$8:$C$39</definedName>
    <definedName name="P1_flight_data_raw_48" localSheetId="8">'T79 - 2'!$C$8:$C$39</definedName>
    <definedName name="P1_flight_data_raw_48" localSheetId="9">'T80'!$C$8:$C$39</definedName>
    <definedName name="P1_flight_data_raw_48" localSheetId="10">'T81'!$C$8:$C$39</definedName>
    <definedName name="P1_flight_data_raw_49" localSheetId="1">'Leitura Dados de Vôo'!$C$8:$C$42</definedName>
    <definedName name="P1_flight_data_raw_49" localSheetId="2">'Leitura Dados de Vôo (2)'!$C$8:$C$42</definedName>
    <definedName name="P1_flight_data_raw_49" localSheetId="3">'T77 - 1'!$C$8:$C$42</definedName>
    <definedName name="P1_flight_data_raw_49" localSheetId="4">'T77 - 2'!$C$8:$C$42</definedName>
    <definedName name="P1_flight_data_raw_49" localSheetId="5">'T78 - 1'!$C$8:$C$42</definedName>
    <definedName name="P1_flight_data_raw_49" localSheetId="6">'T78 - 2'!$C$8:$C$42</definedName>
    <definedName name="P1_flight_data_raw_49" localSheetId="7">'T79 - 1'!$C$8:$C$42</definedName>
    <definedName name="P1_flight_data_raw_49" localSheetId="8">'T79 - 2'!$C$8:$C$42</definedName>
    <definedName name="P1_flight_data_raw_49" localSheetId="9">'T80'!$C$8:$C$42</definedName>
    <definedName name="P1_flight_data_raw_49" localSheetId="10">'T81'!$C$8:$C$42</definedName>
    <definedName name="P1_flight_data_raw_5" localSheetId="1">'Leitura Dados de Vôo'!$C$8:$C$38</definedName>
    <definedName name="P1_flight_data_raw_5" localSheetId="2">'Leitura Dados de Vôo (2)'!$C$8:$C$38</definedName>
    <definedName name="P1_flight_data_raw_5" localSheetId="3">'T77 - 1'!$C$8:$C$38</definedName>
    <definedName name="P1_flight_data_raw_5" localSheetId="4">'T77 - 2'!$C$8:$C$38</definedName>
    <definedName name="P1_flight_data_raw_5" localSheetId="5">'T78 - 1'!$C$8:$C$38</definedName>
    <definedName name="P1_flight_data_raw_5" localSheetId="6">'T78 - 2'!$C$8:$C$38</definedName>
    <definedName name="P1_flight_data_raw_5" localSheetId="7">'T79 - 1'!$C$8:$C$38</definedName>
    <definedName name="P1_flight_data_raw_5" localSheetId="8">'T79 - 2'!$C$8:$C$38</definedName>
    <definedName name="P1_flight_data_raw_5" localSheetId="9">'T80'!$C$8:$C$38</definedName>
    <definedName name="P1_flight_data_raw_5" localSheetId="10">'T81'!$C$8:$C$38</definedName>
    <definedName name="P1_flight_data_raw_50" localSheetId="1">'Leitura Dados de Vôo'!$C$8:$C$42</definedName>
    <definedName name="P1_flight_data_raw_50" localSheetId="2">'Leitura Dados de Vôo (2)'!$C$8:$C$42</definedName>
    <definedName name="P1_flight_data_raw_50" localSheetId="3">'T77 - 1'!$C$8:$C$42</definedName>
    <definedName name="P1_flight_data_raw_50" localSheetId="4">'T77 - 2'!$C$8:$C$42</definedName>
    <definedName name="P1_flight_data_raw_50" localSheetId="5">'T78 - 1'!$C$8:$C$42</definedName>
    <definedName name="P1_flight_data_raw_50" localSheetId="6">'T78 - 2'!$C$8:$C$42</definedName>
    <definedName name="P1_flight_data_raw_50" localSheetId="7">'T79 - 1'!$C$8:$C$42</definedName>
    <definedName name="P1_flight_data_raw_50" localSheetId="8">'T79 - 2'!$C$8:$C$42</definedName>
    <definedName name="P1_flight_data_raw_50" localSheetId="9">'T80'!$C$8:$C$42</definedName>
    <definedName name="P1_flight_data_raw_50" localSheetId="10">'T81'!$C$8:$C$42</definedName>
    <definedName name="P1_flight_data_raw_51" localSheetId="1">'Leitura Dados de Vôo'!$C$8:$C$37</definedName>
    <definedName name="P1_flight_data_raw_51" localSheetId="2">'Leitura Dados de Vôo (2)'!$C$8:$C$37</definedName>
    <definedName name="P1_flight_data_raw_51" localSheetId="3">'T77 - 1'!$C$8:$C$37</definedName>
    <definedName name="P1_flight_data_raw_51" localSheetId="4">'T77 - 2'!$C$8:$C$37</definedName>
    <definedName name="P1_flight_data_raw_51" localSheetId="5">'T78 - 1'!$C$8:$C$37</definedName>
    <definedName name="P1_flight_data_raw_51" localSheetId="6">'T78 - 2'!$C$8:$C$37</definedName>
    <definedName name="P1_flight_data_raw_51" localSheetId="7">'T79 - 1'!$C$8:$C$37</definedName>
    <definedName name="P1_flight_data_raw_51" localSheetId="8">'T79 - 2'!$C$8:$C$37</definedName>
    <definedName name="P1_flight_data_raw_51" localSheetId="9">'T80'!$C$8:$C$37</definedName>
    <definedName name="P1_flight_data_raw_51" localSheetId="10">'T81'!$C$8:$C$37</definedName>
    <definedName name="P1_flight_data_raw_52" localSheetId="1">'Leitura Dados de Vôo'!$C$8:$C$37</definedName>
    <definedName name="P1_flight_data_raw_52" localSheetId="2">'Leitura Dados de Vôo (2)'!$C$8:$C$37</definedName>
    <definedName name="P1_flight_data_raw_52" localSheetId="3">'T77 - 1'!$C$8:$C$37</definedName>
    <definedName name="P1_flight_data_raw_52" localSheetId="4">'T77 - 2'!$C$8:$C$37</definedName>
    <definedName name="P1_flight_data_raw_52" localSheetId="5">'T78 - 1'!$C$8:$C$37</definedName>
    <definedName name="P1_flight_data_raw_52" localSheetId="6">'T78 - 2'!$C$8:$C$37</definedName>
    <definedName name="P1_flight_data_raw_52" localSheetId="7">'T79 - 1'!$C$8:$C$37</definedName>
    <definedName name="P1_flight_data_raw_52" localSheetId="8">'T79 - 2'!$C$8:$C$37</definedName>
    <definedName name="P1_flight_data_raw_52" localSheetId="9">'T80'!$C$8:$C$37</definedName>
    <definedName name="P1_flight_data_raw_52" localSheetId="10">'T81'!$C$8:$C$37</definedName>
    <definedName name="P1_flight_data_raw_53" localSheetId="1">'Leitura Dados de Vôo'!$C$8:$C$37</definedName>
    <definedName name="P1_flight_data_raw_53" localSheetId="2">'Leitura Dados de Vôo (2)'!$C$8:$C$37</definedName>
    <definedName name="P1_flight_data_raw_53" localSheetId="3">'T77 - 1'!$C$8:$C$37</definedName>
    <definedName name="P1_flight_data_raw_53" localSheetId="4">'T77 - 2'!$C$8:$C$37</definedName>
    <definedName name="P1_flight_data_raw_53" localSheetId="5">'T78 - 1'!$C$8:$C$37</definedName>
    <definedName name="P1_flight_data_raw_53" localSheetId="6">'T78 - 2'!$C$8:$C$37</definedName>
    <definedName name="P1_flight_data_raw_53" localSheetId="7">'T79 - 1'!$C$8:$C$37</definedName>
    <definedName name="P1_flight_data_raw_53" localSheetId="8">'T79 - 2'!$C$8:$C$37</definedName>
    <definedName name="P1_flight_data_raw_53" localSheetId="9">'T80'!$C$8:$C$37</definedName>
    <definedName name="P1_flight_data_raw_53" localSheetId="10">'T81'!$C$8:$C$37</definedName>
    <definedName name="P1_flight_data_raw_54" localSheetId="1">'Leitura Dados de Vôo'!$C$8:$C$40</definedName>
    <definedName name="P1_flight_data_raw_54" localSheetId="2">'Leitura Dados de Vôo (2)'!$C$8:$C$40</definedName>
    <definedName name="P1_flight_data_raw_54" localSheetId="3">'T77 - 1'!$C$8:$C$40</definedName>
    <definedName name="P1_flight_data_raw_54" localSheetId="4">'T77 - 2'!$C$8:$C$40</definedName>
    <definedName name="P1_flight_data_raw_54" localSheetId="5">'T78 - 1'!$C$8:$C$40</definedName>
    <definedName name="P1_flight_data_raw_54" localSheetId="6">'T78 - 2'!$C$8:$C$40</definedName>
    <definedName name="P1_flight_data_raw_54" localSheetId="7">'T79 - 1'!$C$8:$C$40</definedName>
    <definedName name="P1_flight_data_raw_54" localSheetId="8">'T79 - 2'!$C$8:$C$40</definedName>
    <definedName name="P1_flight_data_raw_54" localSheetId="9">'T80'!$C$8:$C$40</definedName>
    <definedName name="P1_flight_data_raw_54" localSheetId="10">'T81'!$C$8:$C$40</definedName>
    <definedName name="P1_flight_data_raw_55" localSheetId="1">'Leitura Dados de Vôo'!$C$8:$C$46</definedName>
    <definedName name="P1_flight_data_raw_55" localSheetId="2">'Leitura Dados de Vôo (2)'!$C$8:$C$46</definedName>
    <definedName name="P1_flight_data_raw_55" localSheetId="3">'T77 - 1'!$C$8:$C$46</definedName>
    <definedName name="P1_flight_data_raw_55" localSheetId="4">'T77 - 2'!$C$8:$C$46</definedName>
    <definedName name="P1_flight_data_raw_55" localSheetId="5">'T78 - 1'!$C$8:$C$46</definedName>
    <definedName name="P1_flight_data_raw_55" localSheetId="6">'T78 - 2'!$C$8:$C$46</definedName>
    <definedName name="P1_flight_data_raw_55" localSheetId="7">'T79 - 1'!$C$8:$C$46</definedName>
    <definedName name="P1_flight_data_raw_55" localSheetId="8">'T79 - 2'!$C$8:$C$46</definedName>
    <definedName name="P1_flight_data_raw_55" localSheetId="9">'T80'!$C$8:$C$46</definedName>
    <definedName name="P1_flight_data_raw_55" localSheetId="10">'T81'!$C$8:$C$46</definedName>
    <definedName name="P1_flight_data_raw_56" localSheetId="1">'Leitura Dados de Vôo'!$C$8:$C$40</definedName>
    <definedName name="P1_flight_data_raw_56" localSheetId="2">'Leitura Dados de Vôo (2)'!$C$8:$C$40</definedName>
    <definedName name="P1_flight_data_raw_56" localSheetId="3">'T77 - 1'!$C$8:$C$40</definedName>
    <definedName name="P1_flight_data_raw_56" localSheetId="4">'T77 - 2'!$C$8:$C$40</definedName>
    <definedName name="P1_flight_data_raw_56" localSheetId="5">'T78 - 1'!$C$8:$C$40</definedName>
    <definedName name="P1_flight_data_raw_56" localSheetId="6">'T78 - 2'!$C$8:$C$40</definedName>
    <definedName name="P1_flight_data_raw_56" localSheetId="7">'T79 - 1'!$C$8:$C$40</definedName>
    <definedName name="P1_flight_data_raw_56" localSheetId="8">'T79 - 2'!$C$8:$C$40</definedName>
    <definedName name="P1_flight_data_raw_56" localSheetId="9">'T80'!$C$8:$C$40</definedName>
    <definedName name="P1_flight_data_raw_56" localSheetId="10">'T81'!$C$8:$C$40</definedName>
    <definedName name="P1_flight_data_raw_57" localSheetId="1">'Leitura Dados de Vôo'!$C$8:$C$39</definedName>
    <definedName name="P1_flight_data_raw_57" localSheetId="2">'Leitura Dados de Vôo (2)'!$C$8:$C$39</definedName>
    <definedName name="P1_flight_data_raw_57" localSheetId="3">'T77 - 1'!$C$8:$C$39</definedName>
    <definedName name="P1_flight_data_raw_57" localSheetId="4">'T77 - 2'!$C$8:$C$39</definedName>
    <definedName name="P1_flight_data_raw_57" localSheetId="5">'T78 - 1'!$C$8:$C$39</definedName>
    <definedName name="P1_flight_data_raw_57" localSheetId="6">'T78 - 2'!$C$8:$C$39</definedName>
    <definedName name="P1_flight_data_raw_57" localSheetId="7">'T79 - 1'!$C$8:$C$39</definedName>
    <definedName name="P1_flight_data_raw_57" localSheetId="8">'T79 - 2'!$C$8:$C$39</definedName>
    <definedName name="P1_flight_data_raw_57" localSheetId="9">'T80'!$C$8:$C$39</definedName>
    <definedName name="P1_flight_data_raw_57" localSheetId="10">'T81'!$C$8:$C$39</definedName>
    <definedName name="P1_flight_data_raw_58" localSheetId="1">'Leitura Dados de Vôo'!$C$8:$C$43</definedName>
    <definedName name="P1_flight_data_raw_58" localSheetId="2">'Leitura Dados de Vôo (2)'!$C$8:$C$43</definedName>
    <definedName name="P1_flight_data_raw_58" localSheetId="3">'T77 - 1'!$C$8:$C$43</definedName>
    <definedName name="P1_flight_data_raw_58" localSheetId="4">'T77 - 2'!$C$8:$C$43</definedName>
    <definedName name="P1_flight_data_raw_58" localSheetId="5">'T78 - 1'!$C$8:$C$43</definedName>
    <definedName name="P1_flight_data_raw_58" localSheetId="6">'T78 - 2'!$C$8:$C$43</definedName>
    <definedName name="P1_flight_data_raw_58" localSheetId="7">'T79 - 1'!$C$8:$C$43</definedName>
    <definedName name="P1_flight_data_raw_58" localSheetId="8">'T79 - 2'!$C$8:$C$43</definedName>
    <definedName name="P1_flight_data_raw_58" localSheetId="9">'T80'!$C$8:$C$43</definedName>
    <definedName name="P1_flight_data_raw_58" localSheetId="10">'T81'!$C$8:$C$43</definedName>
    <definedName name="P1_flight_data_raw_59" localSheetId="1">'Leitura Dados de Vôo'!$C$8:$C$39</definedName>
    <definedName name="P1_flight_data_raw_59" localSheetId="2">'Leitura Dados de Vôo (2)'!$C$8:$C$43</definedName>
    <definedName name="P1_flight_data_raw_59" localSheetId="3">'T77 - 1'!$C$8:$C$39</definedName>
    <definedName name="P1_flight_data_raw_59" localSheetId="4">'T77 - 2'!$C$8:$C$39</definedName>
    <definedName name="P1_flight_data_raw_59" localSheetId="5">'T78 - 1'!$C$8:$C$39</definedName>
    <definedName name="P1_flight_data_raw_59" localSheetId="6">'T78 - 2'!$C$8:$C$39</definedName>
    <definedName name="P1_flight_data_raw_59" localSheetId="7">'T79 - 1'!$C$8:$C$39</definedName>
    <definedName name="P1_flight_data_raw_59" localSheetId="8">'T79 - 2'!$C$8:$C$39</definedName>
    <definedName name="P1_flight_data_raw_59" localSheetId="9">'T80'!$C$8:$C$39</definedName>
    <definedName name="P1_flight_data_raw_59" localSheetId="10">'T81'!$C$8:$C$39</definedName>
    <definedName name="P1_flight_data_raw_6" localSheetId="1">'Leitura Dados de Vôo'!$C$8:$C$38</definedName>
    <definedName name="P1_flight_data_raw_6" localSheetId="2">'Leitura Dados de Vôo (2)'!$C$8:$C$38</definedName>
    <definedName name="P1_flight_data_raw_6" localSheetId="3">'T77 - 1'!$C$8:$C$38</definedName>
    <definedName name="P1_flight_data_raw_6" localSheetId="4">'T77 - 2'!$C$8:$C$38</definedName>
    <definedName name="P1_flight_data_raw_6" localSheetId="5">'T78 - 1'!$C$8:$C$38</definedName>
    <definedName name="P1_flight_data_raw_6" localSheetId="6">'T78 - 2'!$C$8:$C$38</definedName>
    <definedName name="P1_flight_data_raw_6" localSheetId="7">'T79 - 1'!$C$8:$C$38</definedName>
    <definedName name="P1_flight_data_raw_6" localSheetId="8">'T79 - 2'!$C$8:$C$38</definedName>
    <definedName name="P1_flight_data_raw_6" localSheetId="9">'T80'!$C$8:$C$38</definedName>
    <definedName name="P1_flight_data_raw_6" localSheetId="10">'T81'!$C$8:$C$38</definedName>
    <definedName name="P1_flight_data_raw_60" localSheetId="1">'Leitura Dados de Vôo'!$C$8:$C$38</definedName>
    <definedName name="P1_flight_data_raw_60" localSheetId="3">'T77 - 1'!$C$8:$C$38</definedName>
    <definedName name="P1_flight_data_raw_60" localSheetId="4">'T77 - 2'!$C$8:$C$38</definedName>
    <definedName name="P1_flight_data_raw_60" localSheetId="5">'T78 - 1'!$C$8:$C$38</definedName>
    <definedName name="P1_flight_data_raw_60" localSheetId="6">'T78 - 2'!$C$8:$C$38</definedName>
    <definedName name="P1_flight_data_raw_60" localSheetId="7">'T79 - 1'!$C$8:$C$38</definedName>
    <definedName name="P1_flight_data_raw_60" localSheetId="8">'T79 - 2'!$C$8:$C$38</definedName>
    <definedName name="P1_flight_data_raw_60" localSheetId="9">'T80'!$C$8:$C$38</definedName>
    <definedName name="P1_flight_data_raw_60" localSheetId="10">'T81'!$C$8:$C$38</definedName>
    <definedName name="P1_flight_data_raw_61" localSheetId="1">'Leitura Dados de Vôo'!$C$8:$C$38</definedName>
    <definedName name="P1_flight_data_raw_61" localSheetId="3">'T77 - 1'!$C$8:$C$38</definedName>
    <definedName name="P1_flight_data_raw_61" localSheetId="4">'T77 - 2'!$C$8:$C$38</definedName>
    <definedName name="P1_flight_data_raw_61" localSheetId="5">'T78 - 1'!$C$8:$C$38</definedName>
    <definedName name="P1_flight_data_raw_61" localSheetId="6">'T78 - 2'!$C$8:$C$38</definedName>
    <definedName name="P1_flight_data_raw_61" localSheetId="7">'T79 - 1'!$C$8:$C$38</definedName>
    <definedName name="P1_flight_data_raw_61" localSheetId="8">'T79 - 2'!$C$8:$C$38</definedName>
    <definedName name="P1_flight_data_raw_61" localSheetId="9">'T80'!$C$8:$C$38</definedName>
    <definedName name="P1_flight_data_raw_61" localSheetId="10">'T81'!$C$8:$C$38</definedName>
    <definedName name="P1_flight_data_raw_62" localSheetId="1">'Leitura Dados de Vôo'!$C$8:$C$37</definedName>
    <definedName name="P1_flight_data_raw_62" localSheetId="3">'T77 - 1'!$C$8:$C$37</definedName>
    <definedName name="P1_flight_data_raw_62" localSheetId="4">'T77 - 2'!$C$8:$C$37</definedName>
    <definedName name="P1_flight_data_raw_62" localSheetId="5">'T78 - 1'!$C$8:$C$37</definedName>
    <definedName name="P1_flight_data_raw_62" localSheetId="6">'T78 - 2'!$C$8:$C$37</definedName>
    <definedName name="P1_flight_data_raw_62" localSheetId="7">'T79 - 1'!$C$8:$C$37</definedName>
    <definedName name="P1_flight_data_raw_62" localSheetId="8">'T79 - 2'!$C$8:$C$37</definedName>
    <definedName name="P1_flight_data_raw_62" localSheetId="9">'T80'!$C$8:$C$37</definedName>
    <definedName name="P1_flight_data_raw_62" localSheetId="10">'T81'!$C$8:$C$37</definedName>
    <definedName name="P1_flight_data_raw_63" localSheetId="1">'Leitura Dados de Vôo'!$C$8:$C$36</definedName>
    <definedName name="P1_flight_data_raw_63" localSheetId="3">'T77 - 1'!$C$8:$C$36</definedName>
    <definedName name="P1_flight_data_raw_63" localSheetId="4">'T77 - 2'!$C$8:$C$36</definedName>
    <definedName name="P1_flight_data_raw_63" localSheetId="5">'T78 - 1'!$C$8:$C$36</definedName>
    <definedName name="P1_flight_data_raw_63" localSheetId="6">'T78 - 2'!$C$8:$C$36</definedName>
    <definedName name="P1_flight_data_raw_63" localSheetId="7">'T79 - 1'!$C$8:$C$36</definedName>
    <definedName name="P1_flight_data_raw_63" localSheetId="8">'T79 - 2'!$C$8:$C$36</definedName>
    <definedName name="P1_flight_data_raw_63" localSheetId="9">'T80'!$C$8:$C$36</definedName>
    <definedName name="P1_flight_data_raw_63" localSheetId="10">'T81'!$C$8:$C$36</definedName>
    <definedName name="P1_flight_data_raw_64" localSheetId="1">'Leitura Dados de Vôo'!$C$8:$C$95</definedName>
    <definedName name="P1_flight_data_raw_64" localSheetId="3">'T77 - 1'!$C$8:$C$95</definedName>
    <definedName name="P1_flight_data_raw_64" localSheetId="4">'T77 - 2'!$C$8:$C$95</definedName>
    <definedName name="P1_flight_data_raw_64" localSheetId="5">'T78 - 1'!$C$8:$C$95</definedName>
    <definedName name="P1_flight_data_raw_64" localSheetId="6">'T78 - 2'!$C$8:$C$95</definedName>
    <definedName name="P1_flight_data_raw_64" localSheetId="7">'T79 - 1'!$C$8:$C$95</definedName>
    <definedName name="P1_flight_data_raw_64" localSheetId="8">'T79 - 2'!$C$8:$C$95</definedName>
    <definedName name="P1_flight_data_raw_64" localSheetId="9">'T80'!$C$8:$C$95</definedName>
    <definedName name="P1_flight_data_raw_64" localSheetId="10">'T81'!$C$8:$C$95</definedName>
    <definedName name="P1_flight_data_raw_65" localSheetId="1">'Leitura Dados de Vôo'!$C$8:$C$42</definedName>
    <definedName name="P1_flight_data_raw_65" localSheetId="4">'T77 - 2'!$C$8:$C$112</definedName>
    <definedName name="P1_flight_data_raw_65" localSheetId="5">'T78 - 1'!$C$8:$C$112</definedName>
    <definedName name="P1_flight_data_raw_65" localSheetId="6">'T78 - 2'!$C$8:$C$112</definedName>
    <definedName name="P1_flight_data_raw_65" localSheetId="7">'T79 - 1'!$C$8:$C$112</definedName>
    <definedName name="P1_flight_data_raw_65" localSheetId="8">'T79 - 2'!$C$8:$C$112</definedName>
    <definedName name="P1_flight_data_raw_65" localSheetId="9">'T80'!$C$8:$C$42</definedName>
    <definedName name="P1_flight_data_raw_65" localSheetId="10">'T81'!$C$8:$C$42</definedName>
    <definedName name="P1_flight_data_raw_66" localSheetId="1">'Leitura Dados de Vôo'!$C$8:$C$112</definedName>
    <definedName name="P1_flight_data_raw_66" localSheetId="5">'T78 - 1'!$C$8:$C$100</definedName>
    <definedName name="P1_flight_data_raw_66" localSheetId="6">'T78 - 2'!$C$8:$C$100</definedName>
    <definedName name="P1_flight_data_raw_66" localSheetId="7">'T79 - 1'!$C$8:$C$100</definedName>
    <definedName name="P1_flight_data_raw_66" localSheetId="8">'T79 - 2'!$C$8:$C$100</definedName>
    <definedName name="P1_flight_data_raw_66" localSheetId="9">'T80'!$C$8:$C$112</definedName>
    <definedName name="P1_flight_data_raw_66" localSheetId="10">'T81'!$C$8:$C$112</definedName>
    <definedName name="P1_flight_data_raw_67" localSheetId="1">'Leitura Dados de Vôo'!$C$8:$C$38</definedName>
    <definedName name="P1_flight_data_raw_67" localSheetId="6">'T78 - 2'!$C$8:$C$112</definedName>
    <definedName name="P1_flight_data_raw_67" localSheetId="7">'T79 - 1'!$C$8:$C$112</definedName>
    <definedName name="P1_flight_data_raw_67" localSheetId="8">'T79 - 2'!$C$8:$C$112</definedName>
    <definedName name="P1_flight_data_raw_67" localSheetId="9">'T80'!$C$8:$C$38</definedName>
    <definedName name="P1_flight_data_raw_67" localSheetId="10">'T81'!$C$8:$C$38</definedName>
    <definedName name="P1_flight_data_raw_68" localSheetId="1">'Leitura Dados de Vôo'!$C$8:$C$39</definedName>
    <definedName name="P1_flight_data_raw_68" localSheetId="7">'T79 - 1'!$C$8:$C$41</definedName>
    <definedName name="P1_flight_data_raw_68" localSheetId="8">'T79 - 2'!$C$8:$C$58</definedName>
    <definedName name="P1_flight_data_raw_68" localSheetId="9">'T80'!$C$8:$C$39</definedName>
    <definedName name="P1_flight_data_raw_68" localSheetId="10">'T81'!$C$8:$C$39</definedName>
    <definedName name="P1_flight_data_raw_69" localSheetId="1">'Leitura Dados de Vôo'!$C$8:$C$38</definedName>
    <definedName name="P1_flight_data_raw_69" localSheetId="9">'T80'!$C$8:$C$48</definedName>
    <definedName name="P1_flight_data_raw_69" localSheetId="10">'T81'!$C$8:$C$48</definedName>
    <definedName name="P1_flight_data_raw_7" localSheetId="1">'Leitura Dados de Vôo'!$C$8:$C$38</definedName>
    <definedName name="P1_flight_data_raw_7" localSheetId="2">'Leitura Dados de Vôo (2)'!$C$8:$C$38</definedName>
    <definedName name="P1_flight_data_raw_7" localSheetId="3">'T77 - 1'!$C$8:$C$38</definedName>
    <definedName name="P1_flight_data_raw_7" localSheetId="4">'T77 - 2'!$C$8:$C$38</definedName>
    <definedName name="P1_flight_data_raw_7" localSheetId="5">'T78 - 1'!$C$8:$C$38</definedName>
    <definedName name="P1_flight_data_raw_7" localSheetId="6">'T78 - 2'!$C$8:$C$38</definedName>
    <definedName name="P1_flight_data_raw_7" localSheetId="7">'T79 - 1'!$C$8:$C$38</definedName>
    <definedName name="P1_flight_data_raw_7" localSheetId="8">'T79 - 2'!$C$8:$C$38</definedName>
    <definedName name="P1_flight_data_raw_7" localSheetId="9">'T80'!$C$8:$C$38</definedName>
    <definedName name="P1_flight_data_raw_7" localSheetId="10">'T81'!$C$8:$C$38</definedName>
    <definedName name="P1_flight_data_raw_70" localSheetId="10">'T81'!$C$8:$C$79</definedName>
    <definedName name="P1_flight_data_raw_8" localSheetId="1">'Leitura Dados de Vôo'!$C$8:$C$43</definedName>
    <definedName name="P1_flight_data_raw_8" localSheetId="2">'Leitura Dados de Vôo (2)'!$C$8:$C$43</definedName>
    <definedName name="P1_flight_data_raw_8" localSheetId="3">'T77 - 1'!$C$8:$C$43</definedName>
    <definedName name="P1_flight_data_raw_8" localSheetId="4">'T77 - 2'!$C$8:$C$43</definedName>
    <definedName name="P1_flight_data_raw_8" localSheetId="5">'T78 - 1'!$C$8:$C$43</definedName>
    <definedName name="P1_flight_data_raw_8" localSheetId="6">'T78 - 2'!$C$8:$C$43</definedName>
    <definedName name="P1_flight_data_raw_8" localSheetId="7">'T79 - 1'!$C$8:$C$43</definedName>
    <definedName name="P1_flight_data_raw_8" localSheetId="8">'T79 - 2'!$C$8:$C$43</definedName>
    <definedName name="P1_flight_data_raw_8" localSheetId="9">'T80'!$C$8:$C$43</definedName>
    <definedName name="P1_flight_data_raw_8" localSheetId="10">'T81'!$C$8:$C$43</definedName>
    <definedName name="P1_flight_data_raw_9" localSheetId="1">'Leitura Dados de Vôo'!$C$8:$C$36</definedName>
    <definedName name="P1_flight_data_raw_9" localSheetId="2">'Leitura Dados de Vôo (2)'!$C$8:$C$36</definedName>
    <definedName name="P1_flight_data_raw_9" localSheetId="3">'T77 - 1'!$C$8:$C$36</definedName>
    <definedName name="P1_flight_data_raw_9" localSheetId="4">'T77 - 2'!$C$8:$C$36</definedName>
    <definedName name="P1_flight_data_raw_9" localSheetId="5">'T78 - 1'!$C$8:$C$36</definedName>
    <definedName name="P1_flight_data_raw_9" localSheetId="6">'T78 - 2'!$C$8:$C$36</definedName>
    <definedName name="P1_flight_data_raw_9" localSheetId="7">'T79 - 1'!$C$8:$C$36</definedName>
    <definedName name="P1_flight_data_raw_9" localSheetId="8">'T79 - 2'!$C$8:$C$36</definedName>
    <definedName name="P1_flight_data_raw_9" localSheetId="9">'T80'!$C$8:$C$36</definedName>
    <definedName name="P1_flight_data_raw_9" localSheetId="10">'T81'!$C$8:$C$36</definedName>
    <definedName name="P1_flight_data_true" localSheetId="1">'Leitura Dados de Vôo'!$D$2:$D$95</definedName>
    <definedName name="P1_flight_data_true" localSheetId="2">'Leitura Dados de Vôo (2)'!$D$2:$D$95</definedName>
    <definedName name="P1_flight_data_true" localSheetId="3">'T77 - 1'!$D$2:$D$95</definedName>
    <definedName name="P1_flight_data_true" localSheetId="4">'T77 - 2'!$D$2:$D$95</definedName>
    <definedName name="P1_flight_data_true" localSheetId="5">'T78 - 1'!$D$2:$D$95</definedName>
    <definedName name="P1_flight_data_true" localSheetId="6">'T78 - 2'!$D$2:$D$95</definedName>
    <definedName name="P1_flight_data_true" localSheetId="7">'T79 - 1'!$D$2:$D$95</definedName>
    <definedName name="P1_flight_data_true" localSheetId="8">'T79 - 2'!$D$2:$D$95</definedName>
    <definedName name="P1_flight_data_true" localSheetId="9">'T80'!$D$2:$D$95</definedName>
    <definedName name="P1_flight_data_true" localSheetId="10">'T81'!$D$2:$D$95</definedName>
    <definedName name="P1_flight_data_true_1" localSheetId="1">'Leitura Dados de Vôo'!#REF!</definedName>
    <definedName name="P1_flight_data_true_1" localSheetId="2">'Leitura Dados de Vôo (2)'!#REF!</definedName>
    <definedName name="P1_flight_data_true_1" localSheetId="3">'T77 - 1'!#REF!</definedName>
    <definedName name="P1_flight_data_true_1" localSheetId="4">'T77 - 2'!#REF!</definedName>
    <definedName name="P1_flight_data_true_1" localSheetId="5">'T78 - 1'!#REF!</definedName>
    <definedName name="P1_flight_data_true_1" localSheetId="6">'T78 - 2'!#REF!</definedName>
    <definedName name="P1_flight_data_true_1" localSheetId="7">'T79 - 1'!#REF!</definedName>
    <definedName name="P1_flight_data_true_1" localSheetId="8">'T79 - 2'!#REF!</definedName>
    <definedName name="P1_flight_data_true_1" localSheetId="9">'T80'!#REF!</definedName>
    <definedName name="P1_flight_data_true_1" localSheetId="10">'T81'!#REF!</definedName>
    <definedName name="P1_flight_data_true_10" localSheetId="1">'Leitura Dados de Vôo'!$D$2:$D$51</definedName>
    <definedName name="P1_flight_data_true_10" localSheetId="2">'Leitura Dados de Vôo (2)'!$D$2:$D$51</definedName>
    <definedName name="P1_flight_data_true_10" localSheetId="3">'T77 - 1'!$D$2:$D$51</definedName>
    <definedName name="P1_flight_data_true_10" localSheetId="4">'T77 - 2'!$D$2:$D$51</definedName>
    <definedName name="P1_flight_data_true_10" localSheetId="5">'T78 - 1'!$D$2:$D$51</definedName>
    <definedName name="P1_flight_data_true_10" localSheetId="6">'T78 - 2'!$D$2:$D$51</definedName>
    <definedName name="P1_flight_data_true_10" localSheetId="7">'T79 - 1'!$D$2:$D$51</definedName>
    <definedName name="P1_flight_data_true_10" localSheetId="8">'T79 - 2'!$D$2:$D$51</definedName>
    <definedName name="P1_flight_data_true_10" localSheetId="9">'T80'!$D$2:$D$51</definedName>
    <definedName name="P1_flight_data_true_10" localSheetId="10">'T81'!$D$2:$D$51</definedName>
    <definedName name="P1_flight_data_true_11" localSheetId="1">'Leitura Dados de Vôo'!$D$2:$D$51</definedName>
    <definedName name="P1_flight_data_true_11" localSheetId="2">'Leitura Dados de Vôo (2)'!$D$2:$D$51</definedName>
    <definedName name="P1_flight_data_true_11" localSheetId="3">'T77 - 1'!$D$2:$D$51</definedName>
    <definedName name="P1_flight_data_true_11" localSheetId="4">'T77 - 2'!$D$2:$D$51</definedName>
    <definedName name="P1_flight_data_true_11" localSheetId="5">'T78 - 1'!$D$2:$D$51</definedName>
    <definedName name="P1_flight_data_true_11" localSheetId="6">'T78 - 2'!$D$2:$D$51</definedName>
    <definedName name="P1_flight_data_true_11" localSheetId="7">'T79 - 1'!$D$2:$D$51</definedName>
    <definedName name="P1_flight_data_true_11" localSheetId="8">'T79 - 2'!$D$2:$D$51</definedName>
    <definedName name="P1_flight_data_true_11" localSheetId="9">'T80'!$D$2:$D$51</definedName>
    <definedName name="P1_flight_data_true_11" localSheetId="10">'T81'!$D$2:$D$51</definedName>
    <definedName name="P1_flight_data_true_12" localSheetId="1">'Leitura Dados de Vôo'!$D$2:$D$42</definedName>
    <definedName name="P1_flight_data_true_12" localSheetId="2">'Leitura Dados de Vôo (2)'!$D$2:$D$42</definedName>
    <definedName name="P1_flight_data_true_12" localSheetId="3">'T77 - 1'!$D$2:$D$42</definedName>
    <definedName name="P1_flight_data_true_12" localSheetId="4">'T77 - 2'!$D$2:$D$42</definedName>
    <definedName name="P1_flight_data_true_12" localSheetId="5">'T78 - 1'!$D$2:$D$42</definedName>
    <definedName name="P1_flight_data_true_12" localSheetId="6">'T78 - 2'!$D$2:$D$42</definedName>
    <definedName name="P1_flight_data_true_12" localSheetId="7">'T79 - 1'!$D$2:$D$42</definedName>
    <definedName name="P1_flight_data_true_12" localSheetId="8">'T79 - 2'!$D$2:$D$42</definedName>
    <definedName name="P1_flight_data_true_12" localSheetId="9">'T80'!$D$2:$D$42</definedName>
    <definedName name="P1_flight_data_true_12" localSheetId="10">'T81'!$D$2:$D$42</definedName>
    <definedName name="P1_flight_data_true_13" localSheetId="1">'Leitura Dados de Vôo'!$D$2:$D$42</definedName>
    <definedName name="P1_flight_data_true_13" localSheetId="2">'Leitura Dados de Vôo (2)'!$D$2:$D$42</definedName>
    <definedName name="P1_flight_data_true_13" localSheetId="3">'T77 - 1'!$D$2:$D$42</definedName>
    <definedName name="P1_flight_data_true_13" localSheetId="4">'T77 - 2'!$D$2:$D$42</definedName>
    <definedName name="P1_flight_data_true_13" localSheetId="5">'T78 - 1'!$D$2:$D$42</definedName>
    <definedName name="P1_flight_data_true_13" localSheetId="6">'T78 - 2'!$D$2:$D$42</definedName>
    <definedName name="P1_flight_data_true_13" localSheetId="7">'T79 - 1'!$D$2:$D$42</definedName>
    <definedName name="P1_flight_data_true_13" localSheetId="8">'T79 - 2'!$D$2:$D$42</definedName>
    <definedName name="P1_flight_data_true_13" localSheetId="9">'T80'!$D$2:$D$42</definedName>
    <definedName name="P1_flight_data_true_13" localSheetId="10">'T81'!$D$2:$D$42</definedName>
    <definedName name="P1_flight_data_true_14" localSheetId="1">'Leitura Dados de Vôo'!$D$2:$D$38</definedName>
    <definedName name="P1_flight_data_true_14" localSheetId="2">'Leitura Dados de Vôo (2)'!$D$2:$D$38</definedName>
    <definedName name="P1_flight_data_true_14" localSheetId="3">'T77 - 1'!$D$2:$D$38</definedName>
    <definedName name="P1_flight_data_true_14" localSheetId="4">'T77 - 2'!$D$2:$D$38</definedName>
    <definedName name="P1_flight_data_true_14" localSheetId="5">'T78 - 1'!$D$2:$D$38</definedName>
    <definedName name="P1_flight_data_true_14" localSheetId="6">'T78 - 2'!$D$2:$D$38</definedName>
    <definedName name="P1_flight_data_true_14" localSheetId="7">'T79 - 1'!$D$2:$D$38</definedName>
    <definedName name="P1_flight_data_true_14" localSheetId="8">'T79 - 2'!$D$2:$D$38</definedName>
    <definedName name="P1_flight_data_true_14" localSheetId="9">'T80'!$D$2:$D$38</definedName>
    <definedName name="P1_flight_data_true_14" localSheetId="10">'T81'!$D$2:$D$38</definedName>
    <definedName name="P1_flight_data_true_15" localSheetId="1">'Leitura Dados de Vôo'!$D$2:$D$39</definedName>
    <definedName name="P1_flight_data_true_15" localSheetId="2">'Leitura Dados de Vôo (2)'!$D$2:$D$39</definedName>
    <definedName name="P1_flight_data_true_15" localSheetId="3">'T77 - 1'!$D$2:$D$39</definedName>
    <definedName name="P1_flight_data_true_15" localSheetId="4">'T77 - 2'!$D$2:$D$39</definedName>
    <definedName name="P1_flight_data_true_15" localSheetId="5">'T78 - 1'!$D$2:$D$39</definedName>
    <definedName name="P1_flight_data_true_15" localSheetId="6">'T78 - 2'!$D$2:$D$39</definedName>
    <definedName name="P1_flight_data_true_15" localSheetId="7">'T79 - 1'!$D$2:$D$39</definedName>
    <definedName name="P1_flight_data_true_15" localSheetId="8">'T79 - 2'!$D$2:$D$39</definedName>
    <definedName name="P1_flight_data_true_15" localSheetId="9">'T80'!$D$2:$D$39</definedName>
    <definedName name="P1_flight_data_true_15" localSheetId="10">'T81'!$D$2:$D$39</definedName>
    <definedName name="P1_flight_data_true_16" localSheetId="1">'Leitura Dados de Vôo'!$D$2:$D$39</definedName>
    <definedName name="P1_flight_data_true_16" localSheetId="2">'Leitura Dados de Vôo (2)'!$D$2:$D$39</definedName>
    <definedName name="P1_flight_data_true_16" localSheetId="3">'T77 - 1'!$D$2:$D$39</definedName>
    <definedName name="P1_flight_data_true_16" localSheetId="4">'T77 - 2'!$D$2:$D$39</definedName>
    <definedName name="P1_flight_data_true_16" localSheetId="5">'T78 - 1'!$D$2:$D$39</definedName>
    <definedName name="P1_flight_data_true_16" localSheetId="6">'T78 - 2'!$D$2:$D$39</definedName>
    <definedName name="P1_flight_data_true_16" localSheetId="7">'T79 - 1'!$D$2:$D$39</definedName>
    <definedName name="P1_flight_data_true_16" localSheetId="8">'T79 - 2'!$D$2:$D$39</definedName>
    <definedName name="P1_flight_data_true_16" localSheetId="9">'T80'!$D$2:$D$39</definedName>
    <definedName name="P1_flight_data_true_16" localSheetId="10">'T81'!$D$2:$D$39</definedName>
    <definedName name="P1_flight_data_true_17" localSheetId="1">'Leitura Dados de Vôo'!$D$2:$D$44</definedName>
    <definedName name="P1_flight_data_true_17" localSheetId="2">'Leitura Dados de Vôo (2)'!$D$2:$D$44</definedName>
    <definedName name="P1_flight_data_true_17" localSheetId="3">'T77 - 1'!$D$2:$D$44</definedName>
    <definedName name="P1_flight_data_true_17" localSheetId="4">'T77 - 2'!$D$2:$D$44</definedName>
    <definedName name="P1_flight_data_true_17" localSheetId="5">'T78 - 1'!$D$2:$D$44</definedName>
    <definedName name="P1_flight_data_true_17" localSheetId="6">'T78 - 2'!$D$2:$D$44</definedName>
    <definedName name="P1_flight_data_true_17" localSheetId="7">'T79 - 1'!$D$2:$D$44</definedName>
    <definedName name="P1_flight_data_true_17" localSheetId="8">'T79 - 2'!$D$2:$D$44</definedName>
    <definedName name="P1_flight_data_true_17" localSheetId="9">'T80'!$D$2:$D$44</definedName>
    <definedName name="P1_flight_data_true_17" localSheetId="10">'T81'!$D$2:$D$44</definedName>
    <definedName name="P1_flight_data_true_18" localSheetId="1">'Leitura Dados de Vôo'!$D$2:$D$41</definedName>
    <definedName name="P1_flight_data_true_18" localSheetId="2">'Leitura Dados de Vôo (2)'!$D$2:$D$41</definedName>
    <definedName name="P1_flight_data_true_18" localSheetId="3">'T77 - 1'!$D$2:$D$41</definedName>
    <definedName name="P1_flight_data_true_18" localSheetId="4">'T77 - 2'!$D$2:$D$41</definedName>
    <definedName name="P1_flight_data_true_18" localSheetId="5">'T78 - 1'!$D$2:$D$41</definedName>
    <definedName name="P1_flight_data_true_18" localSheetId="6">'T78 - 2'!$D$2:$D$41</definedName>
    <definedName name="P1_flight_data_true_18" localSheetId="7">'T79 - 1'!$D$2:$D$41</definedName>
    <definedName name="P1_flight_data_true_18" localSheetId="8">'T79 - 2'!$D$2:$D$41</definedName>
    <definedName name="P1_flight_data_true_18" localSheetId="9">'T80'!$D$2:$D$41</definedName>
    <definedName name="P1_flight_data_true_18" localSheetId="10">'T81'!$D$2:$D$41</definedName>
    <definedName name="P1_flight_data_true_19" localSheetId="1">'Leitura Dados de Vôo'!$D$2:$D$37</definedName>
    <definedName name="P1_flight_data_true_19" localSheetId="2">'Leitura Dados de Vôo (2)'!$D$2:$D$37</definedName>
    <definedName name="P1_flight_data_true_19" localSheetId="3">'T77 - 1'!$D$2:$D$37</definedName>
    <definedName name="P1_flight_data_true_19" localSheetId="4">'T77 - 2'!$D$2:$D$37</definedName>
    <definedName name="P1_flight_data_true_19" localSheetId="5">'T78 - 1'!$D$2:$D$37</definedName>
    <definedName name="P1_flight_data_true_19" localSheetId="6">'T78 - 2'!$D$2:$D$37</definedName>
    <definedName name="P1_flight_data_true_19" localSheetId="7">'T79 - 1'!$D$2:$D$37</definedName>
    <definedName name="P1_flight_data_true_19" localSheetId="8">'T79 - 2'!$D$2:$D$37</definedName>
    <definedName name="P1_flight_data_true_19" localSheetId="9">'T80'!$D$2:$D$37</definedName>
    <definedName name="P1_flight_data_true_19" localSheetId="10">'T81'!$D$2:$D$37</definedName>
    <definedName name="P1_flight_data_true_2" localSheetId="1">'Leitura Dados de Vôo'!$D$2:$D$95</definedName>
    <definedName name="P1_flight_data_true_2" localSheetId="2">'Leitura Dados de Vôo (2)'!$D$2:$D$95</definedName>
    <definedName name="P1_flight_data_true_2" localSheetId="3">'T77 - 1'!$D$2:$D$95</definedName>
    <definedName name="P1_flight_data_true_2" localSheetId="4">'T77 - 2'!$D$2:$D$95</definedName>
    <definedName name="P1_flight_data_true_2" localSheetId="5">'T78 - 1'!$D$2:$D$95</definedName>
    <definedName name="P1_flight_data_true_2" localSheetId="6">'T78 - 2'!$D$2:$D$95</definedName>
    <definedName name="P1_flight_data_true_2" localSheetId="7">'T79 - 1'!$D$2:$D$95</definedName>
    <definedName name="P1_flight_data_true_2" localSheetId="8">'T79 - 2'!$D$2:$D$95</definedName>
    <definedName name="P1_flight_data_true_2" localSheetId="9">'T80'!$D$2:$D$95</definedName>
    <definedName name="P1_flight_data_true_2" localSheetId="10">'T81'!$D$2:$D$95</definedName>
    <definedName name="P1_flight_data_true_20" localSheetId="1">'Leitura Dados de Vôo'!$D$2:$D$37</definedName>
    <definedName name="P1_flight_data_true_20" localSheetId="2">'Leitura Dados de Vôo (2)'!$D$2:$D$37</definedName>
    <definedName name="P1_flight_data_true_20" localSheetId="3">'T77 - 1'!$D$2:$D$37</definedName>
    <definedName name="P1_flight_data_true_20" localSheetId="4">'T77 - 2'!$D$2:$D$37</definedName>
    <definedName name="P1_flight_data_true_20" localSheetId="5">'T78 - 1'!$D$2:$D$37</definedName>
    <definedName name="P1_flight_data_true_20" localSheetId="6">'T78 - 2'!$D$2:$D$37</definedName>
    <definedName name="P1_flight_data_true_20" localSheetId="7">'T79 - 1'!$D$2:$D$37</definedName>
    <definedName name="P1_flight_data_true_20" localSheetId="8">'T79 - 2'!$D$2:$D$37</definedName>
    <definedName name="P1_flight_data_true_20" localSheetId="9">'T80'!$D$2:$D$37</definedName>
    <definedName name="P1_flight_data_true_20" localSheetId="10">'T81'!$D$2:$D$37</definedName>
    <definedName name="P1_flight_data_true_21" localSheetId="1">'Leitura Dados de Vôo'!$D$2:$D$38</definedName>
    <definedName name="P1_flight_data_true_21" localSheetId="2">'Leitura Dados de Vôo (2)'!$D$2:$D$38</definedName>
    <definedName name="P1_flight_data_true_21" localSheetId="3">'T77 - 1'!$D$2:$D$38</definedName>
    <definedName name="P1_flight_data_true_21" localSheetId="4">'T77 - 2'!$D$2:$D$38</definedName>
    <definedName name="P1_flight_data_true_21" localSheetId="5">'T78 - 1'!$D$2:$D$38</definedName>
    <definedName name="P1_flight_data_true_21" localSheetId="6">'T78 - 2'!$D$2:$D$38</definedName>
    <definedName name="P1_flight_data_true_21" localSheetId="7">'T79 - 1'!$D$2:$D$38</definedName>
    <definedName name="P1_flight_data_true_21" localSheetId="8">'T79 - 2'!$D$2:$D$38</definedName>
    <definedName name="P1_flight_data_true_21" localSheetId="9">'T80'!$D$2:$D$38</definedName>
    <definedName name="P1_flight_data_true_21" localSheetId="10">'T81'!$D$2:$D$38</definedName>
    <definedName name="P1_flight_data_true_22" localSheetId="1">'Leitura Dados de Vôo'!$D$2:$D$38</definedName>
    <definedName name="P1_flight_data_true_22" localSheetId="2">'Leitura Dados de Vôo (2)'!$D$2:$D$38</definedName>
    <definedName name="P1_flight_data_true_22" localSheetId="3">'T77 - 1'!$D$2:$D$38</definedName>
    <definedName name="P1_flight_data_true_22" localSheetId="4">'T77 - 2'!$D$2:$D$38</definedName>
    <definedName name="P1_flight_data_true_22" localSheetId="5">'T78 - 1'!$D$2:$D$38</definedName>
    <definedName name="P1_flight_data_true_22" localSheetId="6">'T78 - 2'!$D$2:$D$38</definedName>
    <definedName name="P1_flight_data_true_22" localSheetId="7">'T79 - 1'!$D$2:$D$38</definedName>
    <definedName name="P1_flight_data_true_22" localSheetId="8">'T79 - 2'!$D$2:$D$38</definedName>
    <definedName name="P1_flight_data_true_22" localSheetId="9">'T80'!$D$2:$D$38</definedName>
    <definedName name="P1_flight_data_true_22" localSheetId="10">'T81'!$D$2:$D$38</definedName>
    <definedName name="P1_flight_data_true_23" localSheetId="1">'Leitura Dados de Vôo'!$D$2:$D$36</definedName>
    <definedName name="P1_flight_data_true_23" localSheetId="2">'Leitura Dados de Vôo (2)'!$D$2:$D$36</definedName>
    <definedName name="P1_flight_data_true_23" localSheetId="3">'T77 - 1'!$D$2:$D$36</definedName>
    <definedName name="P1_flight_data_true_23" localSheetId="4">'T77 - 2'!$D$2:$D$36</definedName>
    <definedName name="P1_flight_data_true_23" localSheetId="5">'T78 - 1'!$D$2:$D$36</definedName>
    <definedName name="P1_flight_data_true_23" localSheetId="6">'T78 - 2'!$D$2:$D$36</definedName>
    <definedName name="P1_flight_data_true_23" localSheetId="7">'T79 - 1'!$D$2:$D$36</definedName>
    <definedName name="P1_flight_data_true_23" localSheetId="8">'T79 - 2'!$D$2:$D$36</definedName>
    <definedName name="P1_flight_data_true_23" localSheetId="9">'T80'!$D$2:$D$36</definedName>
    <definedName name="P1_flight_data_true_23" localSheetId="10">'T81'!$D$2:$D$36</definedName>
    <definedName name="P1_flight_data_true_24" localSheetId="1">'Leitura Dados de Vôo'!$D$2:$D$37</definedName>
    <definedName name="P1_flight_data_true_24" localSheetId="2">'Leitura Dados de Vôo (2)'!$D$2:$D$37</definedName>
    <definedName name="P1_flight_data_true_24" localSheetId="3">'T77 - 1'!$D$2:$D$37</definedName>
    <definedName name="P1_flight_data_true_24" localSheetId="4">'T77 - 2'!$D$2:$D$37</definedName>
    <definedName name="P1_flight_data_true_24" localSheetId="5">'T78 - 1'!$D$2:$D$37</definedName>
    <definedName name="P1_flight_data_true_24" localSheetId="6">'T78 - 2'!$D$2:$D$37</definedName>
    <definedName name="P1_flight_data_true_24" localSheetId="7">'T79 - 1'!$D$2:$D$37</definedName>
    <definedName name="P1_flight_data_true_24" localSheetId="8">'T79 - 2'!$D$2:$D$37</definedName>
    <definedName name="P1_flight_data_true_24" localSheetId="9">'T80'!$D$2:$D$37</definedName>
    <definedName name="P1_flight_data_true_24" localSheetId="10">'T81'!$D$2:$D$37</definedName>
    <definedName name="P1_flight_data_true_25" localSheetId="1">'Leitura Dados de Vôo'!$D$2:$D$36</definedName>
    <definedName name="P1_flight_data_true_25" localSheetId="2">'Leitura Dados de Vôo (2)'!$D$2:$D$36</definedName>
    <definedName name="P1_flight_data_true_25" localSheetId="3">'T77 - 1'!$D$2:$D$36</definedName>
    <definedName name="P1_flight_data_true_25" localSheetId="4">'T77 - 2'!$D$2:$D$36</definedName>
    <definedName name="P1_flight_data_true_25" localSheetId="5">'T78 - 1'!$D$2:$D$36</definedName>
    <definedName name="P1_flight_data_true_25" localSheetId="6">'T78 - 2'!$D$2:$D$36</definedName>
    <definedName name="P1_flight_data_true_25" localSheetId="7">'T79 - 1'!$D$2:$D$36</definedName>
    <definedName name="P1_flight_data_true_25" localSheetId="8">'T79 - 2'!$D$2:$D$36</definedName>
    <definedName name="P1_flight_data_true_25" localSheetId="9">'T80'!$D$2:$D$36</definedName>
    <definedName name="P1_flight_data_true_25" localSheetId="10">'T81'!$D$2:$D$36</definedName>
    <definedName name="P1_flight_data_true_26" localSheetId="1">'Leitura Dados de Vôo'!$D$2:$D$35</definedName>
    <definedName name="P1_flight_data_true_26" localSheetId="2">'Leitura Dados de Vôo (2)'!$D$2:$D$35</definedName>
    <definedName name="P1_flight_data_true_26" localSheetId="3">'T77 - 1'!$D$2:$D$35</definedName>
    <definedName name="P1_flight_data_true_26" localSheetId="4">'T77 - 2'!$D$2:$D$35</definedName>
    <definedName name="P1_flight_data_true_26" localSheetId="5">'T78 - 1'!$D$2:$D$35</definedName>
    <definedName name="P1_flight_data_true_26" localSheetId="6">'T78 - 2'!$D$2:$D$35</definedName>
    <definedName name="P1_flight_data_true_26" localSheetId="7">'T79 - 1'!$D$2:$D$35</definedName>
    <definedName name="P1_flight_data_true_26" localSheetId="8">'T79 - 2'!$D$2:$D$35</definedName>
    <definedName name="P1_flight_data_true_26" localSheetId="9">'T80'!$D$2:$D$35</definedName>
    <definedName name="P1_flight_data_true_26" localSheetId="10">'T81'!$D$2:$D$35</definedName>
    <definedName name="P1_flight_data_true_27" localSheetId="1">'Leitura Dados de Vôo'!$D$2:$D$35</definedName>
    <definedName name="P1_flight_data_true_27" localSheetId="2">'Leitura Dados de Vôo (2)'!$D$2:$D$35</definedName>
    <definedName name="P1_flight_data_true_27" localSheetId="3">'T77 - 1'!$D$2:$D$35</definedName>
    <definedName name="P1_flight_data_true_27" localSheetId="4">'T77 - 2'!$D$2:$D$35</definedName>
    <definedName name="P1_flight_data_true_27" localSheetId="5">'T78 - 1'!$D$2:$D$35</definedName>
    <definedName name="P1_flight_data_true_27" localSheetId="6">'T78 - 2'!$D$2:$D$35</definedName>
    <definedName name="P1_flight_data_true_27" localSheetId="7">'T79 - 1'!$D$2:$D$35</definedName>
    <definedName name="P1_flight_data_true_27" localSheetId="8">'T79 - 2'!$D$2:$D$35</definedName>
    <definedName name="P1_flight_data_true_27" localSheetId="9">'T80'!$D$2:$D$35</definedName>
    <definedName name="P1_flight_data_true_27" localSheetId="10">'T81'!$D$2:$D$35</definedName>
    <definedName name="P1_flight_data_true_28" localSheetId="1">'Leitura Dados de Vôo'!$D$2:$D$35</definedName>
    <definedName name="P1_flight_data_true_28" localSheetId="2">'Leitura Dados de Vôo (2)'!$D$2:$D$35</definedName>
    <definedName name="P1_flight_data_true_28" localSheetId="3">'T77 - 1'!$D$2:$D$35</definedName>
    <definedName name="P1_flight_data_true_28" localSheetId="4">'T77 - 2'!$D$2:$D$35</definedName>
    <definedName name="P1_flight_data_true_28" localSheetId="5">'T78 - 1'!$D$2:$D$35</definedName>
    <definedName name="P1_flight_data_true_28" localSheetId="6">'T78 - 2'!$D$2:$D$35</definedName>
    <definedName name="P1_flight_data_true_28" localSheetId="7">'T79 - 1'!$D$2:$D$35</definedName>
    <definedName name="P1_flight_data_true_28" localSheetId="8">'T79 - 2'!$D$2:$D$35</definedName>
    <definedName name="P1_flight_data_true_28" localSheetId="9">'T80'!$D$2:$D$35</definedName>
    <definedName name="P1_flight_data_true_28" localSheetId="10">'T81'!$D$2:$D$35</definedName>
    <definedName name="P1_flight_data_true_29" localSheetId="1">'Leitura Dados de Vôo'!$D$2:$D$36</definedName>
    <definedName name="P1_flight_data_true_29" localSheetId="2">'Leitura Dados de Vôo (2)'!$D$2:$D$36</definedName>
    <definedName name="P1_flight_data_true_29" localSheetId="3">'T77 - 1'!$D$2:$D$36</definedName>
    <definedName name="P1_flight_data_true_29" localSheetId="4">'T77 - 2'!$D$2:$D$36</definedName>
    <definedName name="P1_flight_data_true_29" localSheetId="5">'T78 - 1'!$D$2:$D$36</definedName>
    <definedName name="P1_flight_data_true_29" localSheetId="6">'T78 - 2'!$D$2:$D$36</definedName>
    <definedName name="P1_flight_data_true_29" localSheetId="7">'T79 - 1'!$D$2:$D$36</definedName>
    <definedName name="P1_flight_data_true_29" localSheetId="8">'T79 - 2'!$D$2:$D$36</definedName>
    <definedName name="P1_flight_data_true_29" localSheetId="9">'T80'!$D$2:$D$36</definedName>
    <definedName name="P1_flight_data_true_29" localSheetId="10">'T81'!$D$2:$D$36</definedName>
    <definedName name="P1_flight_data_true_3" localSheetId="1">'Leitura Dados de Vôo'!$D$2:$D$95</definedName>
    <definedName name="P1_flight_data_true_3" localSheetId="2">'Leitura Dados de Vôo (2)'!$D$2:$D$95</definedName>
    <definedName name="P1_flight_data_true_3" localSheetId="3">'T77 - 1'!$D$2:$D$95</definedName>
    <definedName name="P1_flight_data_true_3" localSheetId="4">'T77 - 2'!$D$2:$D$95</definedName>
    <definedName name="P1_flight_data_true_3" localSheetId="5">'T78 - 1'!$D$2:$D$95</definedName>
    <definedName name="P1_flight_data_true_3" localSheetId="6">'T78 - 2'!$D$2:$D$95</definedName>
    <definedName name="P1_flight_data_true_3" localSheetId="7">'T79 - 1'!$D$2:$D$95</definedName>
    <definedName name="P1_flight_data_true_3" localSheetId="8">'T79 - 2'!$D$2:$D$95</definedName>
    <definedName name="P1_flight_data_true_3" localSheetId="9">'T80'!$D$2:$D$95</definedName>
    <definedName name="P1_flight_data_true_3" localSheetId="10">'T81'!$D$2:$D$95</definedName>
    <definedName name="P1_flight_data_true_30" localSheetId="1">'Leitura Dados de Vôo'!$D$2:$D$34</definedName>
    <definedName name="P1_flight_data_true_30" localSheetId="2">'Leitura Dados de Vôo (2)'!$D$2:$D$34</definedName>
    <definedName name="P1_flight_data_true_30" localSheetId="3">'T77 - 1'!$D$2:$D$34</definedName>
    <definedName name="P1_flight_data_true_30" localSheetId="4">'T77 - 2'!$D$2:$D$34</definedName>
    <definedName name="P1_flight_data_true_30" localSheetId="5">'T78 - 1'!$D$2:$D$34</definedName>
    <definedName name="P1_flight_data_true_30" localSheetId="6">'T78 - 2'!$D$2:$D$34</definedName>
    <definedName name="P1_flight_data_true_30" localSheetId="7">'T79 - 1'!$D$2:$D$34</definedName>
    <definedName name="P1_flight_data_true_30" localSheetId="8">'T79 - 2'!$D$2:$D$34</definedName>
    <definedName name="P1_flight_data_true_30" localSheetId="9">'T80'!$D$2:$D$34</definedName>
    <definedName name="P1_flight_data_true_30" localSheetId="10">'T81'!$D$2:$D$34</definedName>
    <definedName name="P1_flight_data_true_31" localSheetId="1">'Leitura Dados de Vôo'!$D$2:$D$35</definedName>
    <definedName name="P1_flight_data_true_31" localSheetId="2">'Leitura Dados de Vôo (2)'!$D$2:$D$35</definedName>
    <definedName name="P1_flight_data_true_31" localSheetId="3">'T77 - 1'!$D$2:$D$35</definedName>
    <definedName name="P1_flight_data_true_31" localSheetId="4">'T77 - 2'!$D$2:$D$35</definedName>
    <definedName name="P1_flight_data_true_31" localSheetId="5">'T78 - 1'!$D$2:$D$35</definedName>
    <definedName name="P1_flight_data_true_31" localSheetId="6">'T78 - 2'!$D$2:$D$35</definedName>
    <definedName name="P1_flight_data_true_31" localSheetId="7">'T79 - 1'!$D$2:$D$35</definedName>
    <definedName name="P1_flight_data_true_31" localSheetId="8">'T79 - 2'!$D$2:$D$35</definedName>
    <definedName name="P1_flight_data_true_31" localSheetId="9">'T80'!$D$2:$D$35</definedName>
    <definedName name="P1_flight_data_true_31" localSheetId="10">'T81'!$D$2:$D$35</definedName>
    <definedName name="P1_flight_data_true_32" localSheetId="1">'Leitura Dados de Vôo'!$D$2:$D$35</definedName>
    <definedName name="P1_flight_data_true_32" localSheetId="2">'Leitura Dados de Vôo (2)'!$D$2:$D$35</definedName>
    <definedName name="P1_flight_data_true_32" localSheetId="3">'T77 - 1'!$D$2:$D$35</definedName>
    <definedName name="P1_flight_data_true_32" localSheetId="4">'T77 - 2'!$D$2:$D$35</definedName>
    <definedName name="P1_flight_data_true_32" localSheetId="5">'T78 - 1'!$D$2:$D$35</definedName>
    <definedName name="P1_flight_data_true_32" localSheetId="6">'T78 - 2'!$D$2:$D$35</definedName>
    <definedName name="P1_flight_data_true_32" localSheetId="7">'T79 - 1'!$D$2:$D$35</definedName>
    <definedName name="P1_flight_data_true_32" localSheetId="8">'T79 - 2'!$D$2:$D$35</definedName>
    <definedName name="P1_flight_data_true_32" localSheetId="9">'T80'!$D$2:$D$35</definedName>
    <definedName name="P1_flight_data_true_32" localSheetId="10">'T81'!$D$2:$D$35</definedName>
    <definedName name="P1_flight_data_true_33" localSheetId="1">'Leitura Dados de Vôo'!$D$2:$D$41</definedName>
    <definedName name="P1_flight_data_true_33" localSheetId="2">'Leitura Dados de Vôo (2)'!$D$2:$D$41</definedName>
    <definedName name="P1_flight_data_true_33" localSheetId="3">'T77 - 1'!$D$2:$D$41</definedName>
    <definedName name="P1_flight_data_true_33" localSheetId="4">'T77 - 2'!$D$2:$D$41</definedName>
    <definedName name="P1_flight_data_true_33" localSheetId="5">'T78 - 1'!$D$2:$D$41</definedName>
    <definedName name="P1_flight_data_true_33" localSheetId="6">'T78 - 2'!$D$2:$D$41</definedName>
    <definedName name="P1_flight_data_true_33" localSheetId="7">'T79 - 1'!$D$2:$D$41</definedName>
    <definedName name="P1_flight_data_true_33" localSheetId="8">'T79 - 2'!$D$2:$D$41</definedName>
    <definedName name="P1_flight_data_true_33" localSheetId="9">'T80'!$D$2:$D$41</definedName>
    <definedName name="P1_flight_data_true_33" localSheetId="10">'T81'!$D$2:$D$41</definedName>
    <definedName name="P1_flight_data_true_34" localSheetId="1">'Leitura Dados de Vôo'!$D$2:$D$35</definedName>
    <definedName name="P1_flight_data_true_34" localSheetId="2">'Leitura Dados de Vôo (2)'!$D$2:$D$35</definedName>
    <definedName name="P1_flight_data_true_34" localSheetId="3">'T77 - 1'!$D$2:$D$35</definedName>
    <definedName name="P1_flight_data_true_34" localSheetId="4">'T77 - 2'!$D$2:$D$35</definedName>
    <definedName name="P1_flight_data_true_34" localSheetId="5">'T78 - 1'!$D$2:$D$35</definedName>
    <definedName name="P1_flight_data_true_34" localSheetId="6">'T78 - 2'!$D$2:$D$35</definedName>
    <definedName name="P1_flight_data_true_34" localSheetId="7">'T79 - 1'!$D$2:$D$35</definedName>
    <definedName name="P1_flight_data_true_34" localSheetId="8">'T79 - 2'!$D$2:$D$35</definedName>
    <definedName name="P1_flight_data_true_34" localSheetId="9">'T80'!$D$2:$D$35</definedName>
    <definedName name="P1_flight_data_true_34" localSheetId="10">'T81'!$D$2:$D$35</definedName>
    <definedName name="P1_flight_data_true_35" localSheetId="1">'Leitura Dados de Vôo'!$D$2:$D$39</definedName>
    <definedName name="P1_flight_data_true_35" localSheetId="2">'Leitura Dados de Vôo (2)'!$D$2:$D$39</definedName>
    <definedName name="P1_flight_data_true_35" localSheetId="3">'T77 - 1'!$D$2:$D$39</definedName>
    <definedName name="P1_flight_data_true_35" localSheetId="4">'T77 - 2'!$D$2:$D$39</definedName>
    <definedName name="P1_flight_data_true_35" localSheetId="5">'T78 - 1'!$D$2:$D$39</definedName>
    <definedName name="P1_flight_data_true_35" localSheetId="6">'T78 - 2'!$D$2:$D$39</definedName>
    <definedName name="P1_flight_data_true_35" localSheetId="7">'T79 - 1'!$D$2:$D$39</definedName>
    <definedName name="P1_flight_data_true_35" localSheetId="8">'T79 - 2'!$D$2:$D$39</definedName>
    <definedName name="P1_flight_data_true_35" localSheetId="9">'T80'!$D$2:$D$39</definedName>
    <definedName name="P1_flight_data_true_35" localSheetId="10">'T81'!$D$2:$D$39</definedName>
    <definedName name="P1_flight_data_true_36" localSheetId="1">'Leitura Dados de Vôo'!$D$2:$D$39</definedName>
    <definedName name="P1_flight_data_true_36" localSheetId="2">'Leitura Dados de Vôo (2)'!$D$2:$D$39</definedName>
    <definedName name="P1_flight_data_true_36" localSheetId="3">'T77 - 1'!$D$2:$D$39</definedName>
    <definedName name="P1_flight_data_true_36" localSheetId="4">'T77 - 2'!$D$2:$D$39</definedName>
    <definedName name="P1_flight_data_true_36" localSheetId="5">'T78 - 1'!$D$2:$D$39</definedName>
    <definedName name="P1_flight_data_true_36" localSheetId="6">'T78 - 2'!$D$2:$D$39</definedName>
    <definedName name="P1_flight_data_true_36" localSheetId="7">'T79 - 1'!$D$2:$D$39</definedName>
    <definedName name="P1_flight_data_true_36" localSheetId="8">'T79 - 2'!$D$2:$D$39</definedName>
    <definedName name="P1_flight_data_true_36" localSheetId="9">'T80'!$D$2:$D$39</definedName>
    <definedName name="P1_flight_data_true_36" localSheetId="10">'T81'!$D$2:$D$39</definedName>
    <definedName name="P1_flight_data_true_37" localSheetId="1">'Leitura Dados de Vôo'!$D$2:$D$37</definedName>
    <definedName name="P1_flight_data_true_37" localSheetId="2">'Leitura Dados de Vôo (2)'!$D$2:$D$37</definedName>
    <definedName name="P1_flight_data_true_37" localSheetId="3">'T77 - 1'!$D$2:$D$37</definedName>
    <definedName name="P1_flight_data_true_37" localSheetId="4">'T77 - 2'!$D$2:$D$37</definedName>
    <definedName name="P1_flight_data_true_37" localSheetId="5">'T78 - 1'!$D$2:$D$37</definedName>
    <definedName name="P1_flight_data_true_37" localSheetId="6">'T78 - 2'!$D$2:$D$37</definedName>
    <definedName name="P1_flight_data_true_37" localSheetId="7">'T79 - 1'!$D$2:$D$37</definedName>
    <definedName name="P1_flight_data_true_37" localSheetId="8">'T79 - 2'!$D$2:$D$37</definedName>
    <definedName name="P1_flight_data_true_37" localSheetId="9">'T80'!$D$2:$D$37</definedName>
    <definedName name="P1_flight_data_true_37" localSheetId="10">'T81'!$D$2:$D$37</definedName>
    <definedName name="P1_flight_data_true_38" localSheetId="1">'Leitura Dados de Vôo'!$D$2:$D$39</definedName>
    <definedName name="P1_flight_data_true_38" localSheetId="2">'Leitura Dados de Vôo (2)'!$D$2:$D$39</definedName>
    <definedName name="P1_flight_data_true_38" localSheetId="3">'T77 - 1'!$D$2:$D$39</definedName>
    <definedName name="P1_flight_data_true_38" localSheetId="4">'T77 - 2'!$D$2:$D$39</definedName>
    <definedName name="P1_flight_data_true_38" localSheetId="5">'T78 - 1'!$D$2:$D$39</definedName>
    <definedName name="P1_flight_data_true_38" localSheetId="6">'T78 - 2'!$D$2:$D$39</definedName>
    <definedName name="P1_flight_data_true_38" localSheetId="7">'T79 - 1'!$D$2:$D$39</definedName>
    <definedName name="P1_flight_data_true_38" localSheetId="8">'T79 - 2'!$D$2:$D$39</definedName>
    <definedName name="P1_flight_data_true_38" localSheetId="9">'T80'!$D$2:$D$39</definedName>
    <definedName name="P1_flight_data_true_38" localSheetId="10">'T81'!$D$2:$D$39</definedName>
    <definedName name="P1_flight_data_true_39" localSheetId="1">'Leitura Dados de Vôo'!$D$2:$D$36</definedName>
    <definedName name="P1_flight_data_true_39" localSheetId="2">'Leitura Dados de Vôo (2)'!$D$2:$D$36</definedName>
    <definedName name="P1_flight_data_true_39" localSheetId="3">'T77 - 1'!$D$2:$D$36</definedName>
    <definedName name="P1_flight_data_true_39" localSheetId="4">'T77 - 2'!$D$2:$D$36</definedName>
    <definedName name="P1_flight_data_true_39" localSheetId="5">'T78 - 1'!$D$2:$D$36</definedName>
    <definedName name="P1_flight_data_true_39" localSheetId="6">'T78 - 2'!$D$2:$D$36</definedName>
    <definedName name="P1_flight_data_true_39" localSheetId="7">'T79 - 1'!$D$2:$D$36</definedName>
    <definedName name="P1_flight_data_true_39" localSheetId="8">'T79 - 2'!$D$2:$D$36</definedName>
    <definedName name="P1_flight_data_true_39" localSheetId="9">'T80'!$D$2:$D$36</definedName>
    <definedName name="P1_flight_data_true_39" localSheetId="10">'T81'!$D$2:$D$36</definedName>
    <definedName name="P1_flight_data_true_4" localSheetId="1">'Leitura Dados de Vôo'!$D$2:$D$50</definedName>
    <definedName name="P1_flight_data_true_4" localSheetId="2">'Leitura Dados de Vôo (2)'!$D$2:$D$50</definedName>
    <definedName name="P1_flight_data_true_4" localSheetId="3">'T77 - 1'!$D$2:$D$50</definedName>
    <definedName name="P1_flight_data_true_4" localSheetId="4">'T77 - 2'!$D$2:$D$50</definedName>
    <definedName name="P1_flight_data_true_4" localSheetId="5">'T78 - 1'!$D$2:$D$50</definedName>
    <definedName name="P1_flight_data_true_4" localSheetId="6">'T78 - 2'!$D$2:$D$50</definedName>
    <definedName name="P1_flight_data_true_4" localSheetId="7">'T79 - 1'!$D$2:$D$50</definedName>
    <definedName name="P1_flight_data_true_4" localSheetId="8">'T79 - 2'!$D$2:$D$50</definedName>
    <definedName name="P1_flight_data_true_4" localSheetId="9">'T80'!$D$2:$D$50</definedName>
    <definedName name="P1_flight_data_true_4" localSheetId="10">'T81'!$D$2:$D$50</definedName>
    <definedName name="P1_flight_data_true_40" localSheetId="1">'Leitura Dados de Vôo'!$D$2:$D$38</definedName>
    <definedName name="P1_flight_data_true_40" localSheetId="2">'Leitura Dados de Vôo (2)'!$D$2:$D$38</definedName>
    <definedName name="P1_flight_data_true_40" localSheetId="3">'T77 - 1'!$D$2:$D$38</definedName>
    <definedName name="P1_flight_data_true_40" localSheetId="4">'T77 - 2'!$D$2:$D$38</definedName>
    <definedName name="P1_flight_data_true_40" localSheetId="5">'T78 - 1'!$D$2:$D$38</definedName>
    <definedName name="P1_flight_data_true_40" localSheetId="6">'T78 - 2'!$D$2:$D$38</definedName>
    <definedName name="P1_flight_data_true_40" localSheetId="7">'T79 - 1'!$D$2:$D$38</definedName>
    <definedName name="P1_flight_data_true_40" localSheetId="8">'T79 - 2'!$D$2:$D$38</definedName>
    <definedName name="P1_flight_data_true_40" localSheetId="9">'T80'!$D$2:$D$38</definedName>
    <definedName name="P1_flight_data_true_40" localSheetId="10">'T81'!$D$2:$D$38</definedName>
    <definedName name="P1_flight_data_true_41" localSheetId="1">'Leitura Dados de Vôo'!$D$2:$D$10</definedName>
    <definedName name="P1_flight_data_true_41" localSheetId="2">'Leitura Dados de Vôo (2)'!$D$2:$D$10</definedName>
    <definedName name="P1_flight_data_true_41" localSheetId="3">'T77 - 1'!$D$2:$D$10</definedName>
    <definedName name="P1_flight_data_true_41" localSheetId="4">'T77 - 2'!$D$2:$D$10</definedName>
    <definedName name="P1_flight_data_true_41" localSheetId="5">'T78 - 1'!$D$2:$D$10</definedName>
    <definedName name="P1_flight_data_true_41" localSheetId="6">'T78 - 2'!$D$2:$D$10</definedName>
    <definedName name="P1_flight_data_true_41" localSheetId="7">'T79 - 1'!$D$2:$D$10</definedName>
    <definedName name="P1_flight_data_true_41" localSheetId="8">'T79 - 2'!$D$2:$D$10</definedName>
    <definedName name="P1_flight_data_true_41" localSheetId="9">'T80'!$D$2:$D$10</definedName>
    <definedName name="P1_flight_data_true_41" localSheetId="10">'T81'!$D$2:$D$10</definedName>
    <definedName name="P1_flight_data_true_42" localSheetId="1">'Leitura Dados de Vôo'!$D$2:$D$10</definedName>
    <definedName name="P1_flight_data_true_42" localSheetId="2">'Leitura Dados de Vôo (2)'!$D$2:$D$10</definedName>
    <definedName name="P1_flight_data_true_42" localSheetId="3">'T77 - 1'!$D$2:$D$10</definedName>
    <definedName name="P1_flight_data_true_42" localSheetId="4">'T77 - 2'!$D$2:$D$10</definedName>
    <definedName name="P1_flight_data_true_42" localSheetId="5">'T78 - 1'!$D$2:$D$10</definedName>
    <definedName name="P1_flight_data_true_42" localSheetId="6">'T78 - 2'!$D$2:$D$10</definedName>
    <definedName name="P1_flight_data_true_42" localSheetId="7">'T79 - 1'!$D$2:$D$10</definedName>
    <definedName name="P1_flight_data_true_42" localSheetId="8">'T79 - 2'!$D$2:$D$10</definedName>
    <definedName name="P1_flight_data_true_42" localSheetId="9">'T80'!$D$2:$D$10</definedName>
    <definedName name="P1_flight_data_true_42" localSheetId="10">'T81'!$D$2:$D$10</definedName>
    <definedName name="P1_flight_data_true_43" localSheetId="1">'Leitura Dados de Vôo'!$D$2:$D$10</definedName>
    <definedName name="P1_flight_data_true_43" localSheetId="2">'Leitura Dados de Vôo (2)'!$D$2:$D$10</definedName>
    <definedName name="P1_flight_data_true_43" localSheetId="3">'T77 - 1'!$D$2:$D$10</definedName>
    <definedName name="P1_flight_data_true_43" localSheetId="4">'T77 - 2'!$D$2:$D$10</definedName>
    <definedName name="P1_flight_data_true_43" localSheetId="5">'T78 - 1'!$D$2:$D$10</definedName>
    <definedName name="P1_flight_data_true_43" localSheetId="6">'T78 - 2'!$D$2:$D$10</definedName>
    <definedName name="P1_flight_data_true_43" localSheetId="7">'T79 - 1'!$D$2:$D$10</definedName>
    <definedName name="P1_flight_data_true_43" localSheetId="8">'T79 - 2'!$D$2:$D$10</definedName>
    <definedName name="P1_flight_data_true_43" localSheetId="9">'T80'!$D$2:$D$10</definedName>
    <definedName name="P1_flight_data_true_43" localSheetId="10">'T81'!$D$2:$D$10</definedName>
    <definedName name="P1_flight_data_true_44" localSheetId="1">'Leitura Dados de Vôo'!$D$2:$D$10</definedName>
    <definedName name="P1_flight_data_true_44" localSheetId="2">'Leitura Dados de Vôo (2)'!$D$2:$D$10</definedName>
    <definedName name="P1_flight_data_true_44" localSheetId="3">'T77 - 1'!$D$2:$D$10</definedName>
    <definedName name="P1_flight_data_true_44" localSheetId="4">'T77 - 2'!$D$2:$D$10</definedName>
    <definedName name="P1_flight_data_true_44" localSheetId="5">'T78 - 1'!$D$2:$D$10</definedName>
    <definedName name="P1_flight_data_true_44" localSheetId="6">'T78 - 2'!$D$2:$D$10</definedName>
    <definedName name="P1_flight_data_true_44" localSheetId="7">'T79 - 1'!$D$2:$D$10</definedName>
    <definedName name="P1_flight_data_true_44" localSheetId="8">'T79 - 2'!$D$2:$D$10</definedName>
    <definedName name="P1_flight_data_true_44" localSheetId="9">'T80'!$D$2:$D$10</definedName>
    <definedName name="P1_flight_data_true_44" localSheetId="10">'T81'!$D$2:$D$10</definedName>
    <definedName name="P1_flight_data_true_45" localSheetId="1">'Leitura Dados de Vôo'!$D$2:$D$10</definedName>
    <definedName name="P1_flight_data_true_45" localSheetId="2">'Leitura Dados de Vôo (2)'!$D$2:$D$10</definedName>
    <definedName name="P1_flight_data_true_45" localSheetId="3">'T77 - 1'!$D$2:$D$10</definedName>
    <definedName name="P1_flight_data_true_45" localSheetId="4">'T77 - 2'!$D$2:$D$10</definedName>
    <definedName name="P1_flight_data_true_45" localSheetId="5">'T78 - 1'!$D$2:$D$10</definedName>
    <definedName name="P1_flight_data_true_45" localSheetId="6">'T78 - 2'!$D$2:$D$10</definedName>
    <definedName name="P1_flight_data_true_45" localSheetId="7">'T79 - 1'!$D$2:$D$10</definedName>
    <definedName name="P1_flight_data_true_45" localSheetId="8">'T79 - 2'!$D$2:$D$10</definedName>
    <definedName name="P1_flight_data_true_45" localSheetId="9">'T80'!$D$2:$D$10</definedName>
    <definedName name="P1_flight_data_true_45" localSheetId="10">'T81'!$D$2:$D$10</definedName>
    <definedName name="P1_flight_data_true_46" localSheetId="1">'Leitura Dados de Vôo'!$D$2:$D$10</definedName>
    <definedName name="P1_flight_data_true_46" localSheetId="2">'Leitura Dados de Vôo (2)'!$D$2:$D$10</definedName>
    <definedName name="P1_flight_data_true_46" localSheetId="3">'T77 - 1'!$D$2:$D$10</definedName>
    <definedName name="P1_flight_data_true_46" localSheetId="4">'T77 - 2'!$D$2:$D$10</definedName>
    <definedName name="P1_flight_data_true_46" localSheetId="5">'T78 - 1'!$D$2:$D$10</definedName>
    <definedName name="P1_flight_data_true_46" localSheetId="6">'T78 - 2'!$D$2:$D$10</definedName>
    <definedName name="P1_flight_data_true_46" localSheetId="7">'T79 - 1'!$D$2:$D$10</definedName>
    <definedName name="P1_flight_data_true_46" localSheetId="8">'T79 - 2'!$D$2:$D$10</definedName>
    <definedName name="P1_flight_data_true_46" localSheetId="9">'T80'!$D$2:$D$10</definedName>
    <definedName name="P1_flight_data_true_46" localSheetId="10">'T81'!$D$2:$D$10</definedName>
    <definedName name="P1_flight_data_true_47" localSheetId="1">'Leitura Dados de Vôo'!$D$2:$D$39</definedName>
    <definedName name="P1_flight_data_true_47" localSheetId="2">'Leitura Dados de Vôo (2)'!$D$2:$D$39</definedName>
    <definedName name="P1_flight_data_true_47" localSheetId="3">'T77 - 1'!$D$2:$D$39</definedName>
    <definedName name="P1_flight_data_true_47" localSheetId="4">'T77 - 2'!$D$2:$D$39</definedName>
    <definedName name="P1_flight_data_true_47" localSheetId="5">'T78 - 1'!$D$2:$D$39</definedName>
    <definedName name="P1_flight_data_true_47" localSheetId="6">'T78 - 2'!$D$2:$D$39</definedName>
    <definedName name="P1_flight_data_true_47" localSheetId="7">'T79 - 1'!$D$2:$D$39</definedName>
    <definedName name="P1_flight_data_true_47" localSheetId="8">'T79 - 2'!$D$2:$D$39</definedName>
    <definedName name="P1_flight_data_true_47" localSheetId="9">'T80'!$D$2:$D$39</definedName>
    <definedName name="P1_flight_data_true_47" localSheetId="10">'T81'!$D$2:$D$39</definedName>
    <definedName name="P1_flight_data_true_48" localSheetId="1">'Leitura Dados de Vôo'!$D$2:$D$41</definedName>
    <definedName name="P1_flight_data_true_48" localSheetId="2">'Leitura Dados de Vôo (2)'!$D$2:$D$41</definedName>
    <definedName name="P1_flight_data_true_48" localSheetId="3">'T77 - 1'!$D$2:$D$41</definedName>
    <definedName name="P1_flight_data_true_48" localSheetId="4">'T77 - 2'!$D$2:$D$41</definedName>
    <definedName name="P1_flight_data_true_48" localSheetId="5">'T78 - 1'!$D$2:$D$41</definedName>
    <definedName name="P1_flight_data_true_48" localSheetId="6">'T78 - 2'!$D$2:$D$41</definedName>
    <definedName name="P1_flight_data_true_48" localSheetId="7">'T79 - 1'!$D$2:$D$41</definedName>
    <definedName name="P1_flight_data_true_48" localSheetId="8">'T79 - 2'!$D$2:$D$41</definedName>
    <definedName name="P1_flight_data_true_48" localSheetId="9">'T80'!$D$2:$D$41</definedName>
    <definedName name="P1_flight_data_true_48" localSheetId="10">'T81'!$D$2:$D$41</definedName>
    <definedName name="P1_flight_data_true_49" localSheetId="1">'Leitura Dados de Vôo'!$D$2:$D$10</definedName>
    <definedName name="P1_flight_data_true_49" localSheetId="2">'Leitura Dados de Vôo (2)'!$D$2:$D$10</definedName>
    <definedName name="P1_flight_data_true_49" localSheetId="3">'T77 - 1'!$D$2:$D$10</definedName>
    <definedName name="P1_flight_data_true_49" localSheetId="4">'T77 - 2'!$D$2:$D$10</definedName>
    <definedName name="P1_flight_data_true_49" localSheetId="5">'T78 - 1'!$D$2:$D$10</definedName>
    <definedName name="P1_flight_data_true_49" localSheetId="6">'T78 - 2'!$D$2:$D$10</definedName>
    <definedName name="P1_flight_data_true_49" localSheetId="7">'T79 - 1'!$D$2:$D$10</definedName>
    <definedName name="P1_flight_data_true_49" localSheetId="8">'T79 - 2'!$D$2:$D$10</definedName>
    <definedName name="P1_flight_data_true_49" localSheetId="9">'T80'!$D$2:$D$10</definedName>
    <definedName name="P1_flight_data_true_49" localSheetId="10">'T81'!$D$2:$D$10</definedName>
    <definedName name="P1_flight_data_true_5" localSheetId="1">'Leitura Dados de Vôo'!$D$2:$D$50</definedName>
    <definedName name="P1_flight_data_true_5" localSheetId="2">'Leitura Dados de Vôo (2)'!$D$2:$D$50</definedName>
    <definedName name="P1_flight_data_true_5" localSheetId="3">'T77 - 1'!$D$2:$D$50</definedName>
    <definedName name="P1_flight_data_true_5" localSheetId="4">'T77 - 2'!$D$2:$D$50</definedName>
    <definedName name="P1_flight_data_true_5" localSheetId="5">'T78 - 1'!$D$2:$D$50</definedName>
    <definedName name="P1_flight_data_true_5" localSheetId="6">'T78 - 2'!$D$2:$D$50</definedName>
    <definedName name="P1_flight_data_true_5" localSheetId="7">'T79 - 1'!$D$2:$D$50</definedName>
    <definedName name="P1_flight_data_true_5" localSheetId="8">'T79 - 2'!$D$2:$D$50</definedName>
    <definedName name="P1_flight_data_true_5" localSheetId="9">'T80'!$D$2:$D$50</definedName>
    <definedName name="P1_flight_data_true_5" localSheetId="10">'T81'!$D$2:$D$50</definedName>
    <definedName name="P1_flight_data_true_50" localSheetId="1">'Leitura Dados de Vôo'!$D$2:$D$88</definedName>
    <definedName name="P1_flight_data_true_50" localSheetId="2">'Leitura Dados de Vôo (2)'!$D$2:$D$88</definedName>
    <definedName name="P1_flight_data_true_50" localSheetId="3">'T77 - 1'!$D$2:$D$88</definedName>
    <definedName name="P1_flight_data_true_50" localSheetId="4">'T77 - 2'!$D$2:$D$88</definedName>
    <definedName name="P1_flight_data_true_50" localSheetId="5">'T78 - 1'!$D$2:$D$88</definedName>
    <definedName name="P1_flight_data_true_50" localSheetId="6">'T78 - 2'!$D$2:$D$88</definedName>
    <definedName name="P1_flight_data_true_50" localSheetId="7">'T79 - 1'!$D$2:$D$88</definedName>
    <definedName name="P1_flight_data_true_50" localSheetId="8">'T79 - 2'!$D$2:$D$88</definedName>
    <definedName name="P1_flight_data_true_50" localSheetId="9">'T80'!$D$2:$D$88</definedName>
    <definedName name="P1_flight_data_true_50" localSheetId="10">'T81'!$D$2:$D$88</definedName>
    <definedName name="P1_flight_data_true_51" localSheetId="1">'Leitura Dados de Vôo'!$D$2:$D$88</definedName>
    <definedName name="P1_flight_data_true_51" localSheetId="2">'Leitura Dados de Vôo (2)'!$D$2:$D$88</definedName>
    <definedName name="P1_flight_data_true_51" localSheetId="3">'T77 - 1'!$D$2:$D$88</definedName>
    <definedName name="P1_flight_data_true_51" localSheetId="4">'T77 - 2'!$D$2:$D$88</definedName>
    <definedName name="P1_flight_data_true_51" localSheetId="5">'T78 - 1'!$D$2:$D$88</definedName>
    <definedName name="P1_flight_data_true_51" localSheetId="6">'T78 - 2'!$D$2:$D$88</definedName>
    <definedName name="P1_flight_data_true_51" localSheetId="7">'T79 - 1'!$D$2:$D$88</definedName>
    <definedName name="P1_flight_data_true_51" localSheetId="8">'T79 - 2'!$D$2:$D$88</definedName>
    <definedName name="P1_flight_data_true_51" localSheetId="9">'T80'!$D$2:$D$88</definedName>
    <definedName name="P1_flight_data_true_51" localSheetId="10">'T81'!$D$2:$D$88</definedName>
    <definedName name="P1_flight_data_true_52" localSheetId="1">'Leitura Dados de Vôo'!$D$2:$D$35</definedName>
    <definedName name="P1_flight_data_true_52" localSheetId="2">'Leitura Dados de Vôo (2)'!$D$2:$D$35</definedName>
    <definedName name="P1_flight_data_true_52" localSheetId="3">'T77 - 1'!$D$2:$D$35</definedName>
    <definedName name="P1_flight_data_true_52" localSheetId="4">'T77 - 2'!$D$2:$D$35</definedName>
    <definedName name="P1_flight_data_true_52" localSheetId="5">'T78 - 1'!$D$2:$D$35</definedName>
    <definedName name="P1_flight_data_true_52" localSheetId="6">'T78 - 2'!$D$2:$D$35</definedName>
    <definedName name="P1_flight_data_true_52" localSheetId="7">'T79 - 1'!$D$2:$D$35</definedName>
    <definedName name="P1_flight_data_true_52" localSheetId="8">'T79 - 2'!$D$2:$D$35</definedName>
    <definedName name="P1_flight_data_true_52" localSheetId="9">'T80'!$D$2:$D$35</definedName>
    <definedName name="P1_flight_data_true_52" localSheetId="10">'T81'!$D$2:$D$35</definedName>
    <definedName name="P1_flight_data_true_53" localSheetId="1">'Leitura Dados de Vôo'!$D$2:$D$42</definedName>
    <definedName name="P1_flight_data_true_53" localSheetId="2">'Leitura Dados de Vôo (2)'!$D$2:$D$42</definedName>
    <definedName name="P1_flight_data_true_53" localSheetId="3">'T77 - 1'!$D$2:$D$42</definedName>
    <definedName name="P1_flight_data_true_53" localSheetId="4">'T77 - 2'!$D$2:$D$42</definedName>
    <definedName name="P1_flight_data_true_53" localSheetId="5">'T78 - 1'!$D$2:$D$42</definedName>
    <definedName name="P1_flight_data_true_53" localSheetId="6">'T78 - 2'!$D$2:$D$42</definedName>
    <definedName name="P1_flight_data_true_53" localSheetId="7">'T79 - 1'!$D$2:$D$42</definedName>
    <definedName name="P1_flight_data_true_53" localSheetId="8">'T79 - 2'!$D$2:$D$42</definedName>
    <definedName name="P1_flight_data_true_53" localSheetId="9">'T80'!$D$2:$D$42</definedName>
    <definedName name="P1_flight_data_true_53" localSheetId="10">'T81'!$D$2:$D$42</definedName>
    <definedName name="P1_flight_data_true_54" localSheetId="1">'Leitura Dados de Vôo'!$D$2:$D$38</definedName>
    <definedName name="P1_flight_data_true_54" localSheetId="2">'Leitura Dados de Vôo (2)'!$D$2:$D$38</definedName>
    <definedName name="P1_flight_data_true_54" localSheetId="3">'T77 - 1'!$D$2:$D$38</definedName>
    <definedName name="P1_flight_data_true_54" localSheetId="4">'T77 - 2'!$D$2:$D$38</definedName>
    <definedName name="P1_flight_data_true_54" localSheetId="5">'T78 - 1'!$D$2:$D$38</definedName>
    <definedName name="P1_flight_data_true_54" localSheetId="6">'T78 - 2'!$D$2:$D$38</definedName>
    <definedName name="P1_flight_data_true_54" localSheetId="7">'T79 - 1'!$D$2:$D$38</definedName>
    <definedName name="P1_flight_data_true_54" localSheetId="8">'T79 - 2'!$D$2:$D$38</definedName>
    <definedName name="P1_flight_data_true_54" localSheetId="9">'T80'!$D$2:$D$38</definedName>
    <definedName name="P1_flight_data_true_54" localSheetId="10">'T81'!$D$2:$D$38</definedName>
    <definedName name="P1_flight_data_true_55" localSheetId="1">'Leitura Dados de Vôo'!$D$2:$D$37</definedName>
    <definedName name="P1_flight_data_true_55" localSheetId="2">'Leitura Dados de Vôo (2)'!$D$2:$D$37</definedName>
    <definedName name="P1_flight_data_true_55" localSheetId="3">'T77 - 1'!$D$2:$D$37</definedName>
    <definedName name="P1_flight_data_true_55" localSheetId="4">'T77 - 2'!$D$2:$D$37</definedName>
    <definedName name="P1_flight_data_true_55" localSheetId="5">'T78 - 1'!$D$2:$D$37</definedName>
    <definedName name="P1_flight_data_true_55" localSheetId="6">'T78 - 2'!$D$2:$D$37</definedName>
    <definedName name="P1_flight_data_true_55" localSheetId="7">'T79 - 1'!$D$2:$D$37</definedName>
    <definedName name="P1_flight_data_true_55" localSheetId="8">'T79 - 2'!$D$2:$D$37</definedName>
    <definedName name="P1_flight_data_true_55" localSheetId="9">'T80'!$D$2:$D$37</definedName>
    <definedName name="P1_flight_data_true_55" localSheetId="10">'T81'!$D$2:$D$37</definedName>
    <definedName name="P1_flight_data_true_56" localSheetId="1">'Leitura Dados de Vôo'!$D$2:$D$39</definedName>
    <definedName name="P1_flight_data_true_56" localSheetId="2">'Leitura Dados de Vôo (2)'!$D$2:$D$39</definedName>
    <definedName name="P1_flight_data_true_56" localSheetId="3">'T77 - 1'!$D$2:$D$39</definedName>
    <definedName name="P1_flight_data_true_56" localSheetId="4">'T77 - 2'!$D$2:$D$39</definedName>
    <definedName name="P1_flight_data_true_56" localSheetId="5">'T78 - 1'!$D$2:$D$39</definedName>
    <definedName name="P1_flight_data_true_56" localSheetId="6">'T78 - 2'!$D$2:$D$39</definedName>
    <definedName name="P1_flight_data_true_56" localSheetId="7">'T79 - 1'!$D$2:$D$39</definedName>
    <definedName name="P1_flight_data_true_56" localSheetId="8">'T79 - 2'!$D$2:$D$39</definedName>
    <definedName name="P1_flight_data_true_56" localSheetId="9">'T80'!$D$2:$D$39</definedName>
    <definedName name="P1_flight_data_true_56" localSheetId="10">'T81'!$D$2:$D$39</definedName>
    <definedName name="P1_flight_data_true_57" localSheetId="1">'Leitura Dados de Vôo'!$D$2:$D$39</definedName>
    <definedName name="P1_flight_data_true_57" localSheetId="2">'Leitura Dados de Vôo (2)'!$D$2:$D$39</definedName>
    <definedName name="P1_flight_data_true_57" localSheetId="3">'T77 - 1'!$D$2:$D$39</definedName>
    <definedName name="P1_flight_data_true_57" localSheetId="4">'T77 - 2'!$D$2:$D$39</definedName>
    <definedName name="P1_flight_data_true_57" localSheetId="5">'T78 - 1'!$D$2:$D$39</definedName>
    <definedName name="P1_flight_data_true_57" localSheetId="6">'T78 - 2'!$D$2:$D$39</definedName>
    <definedName name="P1_flight_data_true_57" localSheetId="7">'T79 - 1'!$D$2:$D$39</definedName>
    <definedName name="P1_flight_data_true_57" localSheetId="8">'T79 - 2'!$D$2:$D$39</definedName>
    <definedName name="P1_flight_data_true_57" localSheetId="9">'T80'!$D$2:$D$39</definedName>
    <definedName name="P1_flight_data_true_57" localSheetId="10">'T81'!$D$2:$D$39</definedName>
    <definedName name="P1_flight_data_true_58" localSheetId="1">'Leitura Dados de Vôo'!$D$2:$D$39</definedName>
    <definedName name="P1_flight_data_true_58" localSheetId="2">'Leitura Dados de Vôo (2)'!$D$2:$D$39</definedName>
    <definedName name="P1_flight_data_true_58" localSheetId="3">'T77 - 1'!$D$2:$D$39</definedName>
    <definedName name="P1_flight_data_true_58" localSheetId="4">'T77 - 2'!$D$2:$D$39</definedName>
    <definedName name="P1_flight_data_true_58" localSheetId="5">'T78 - 1'!$D$2:$D$39</definedName>
    <definedName name="P1_flight_data_true_58" localSheetId="6">'T78 - 2'!$D$2:$D$39</definedName>
    <definedName name="P1_flight_data_true_58" localSheetId="7">'T79 - 1'!$D$2:$D$39</definedName>
    <definedName name="P1_flight_data_true_58" localSheetId="8">'T79 - 2'!$D$2:$D$39</definedName>
    <definedName name="P1_flight_data_true_58" localSheetId="9">'T80'!$D$2:$D$39</definedName>
    <definedName name="P1_flight_data_true_58" localSheetId="10">'T81'!$D$2:$D$39</definedName>
    <definedName name="P1_flight_data_true_59" localSheetId="1">'Leitura Dados de Vôo'!$D$2:$D$42</definedName>
    <definedName name="P1_flight_data_true_59" localSheetId="2">'Leitura Dados de Vôo (2)'!$D$2:$D$42</definedName>
    <definedName name="P1_flight_data_true_59" localSheetId="3">'T77 - 1'!$D$2:$D$42</definedName>
    <definedName name="P1_flight_data_true_59" localSheetId="4">'T77 - 2'!$D$2:$D$42</definedName>
    <definedName name="P1_flight_data_true_59" localSheetId="5">'T78 - 1'!$D$2:$D$42</definedName>
    <definedName name="P1_flight_data_true_59" localSheetId="6">'T78 - 2'!$D$2:$D$42</definedName>
    <definedName name="P1_flight_data_true_59" localSheetId="7">'T79 - 1'!$D$2:$D$42</definedName>
    <definedName name="P1_flight_data_true_59" localSheetId="8">'T79 - 2'!$D$2:$D$42</definedName>
    <definedName name="P1_flight_data_true_59" localSheetId="9">'T80'!$D$2:$D$42</definedName>
    <definedName name="P1_flight_data_true_59" localSheetId="10">'T81'!$D$2:$D$42</definedName>
    <definedName name="P1_flight_data_true_6" localSheetId="1">'Leitura Dados de Vôo'!$D$2:$D$50</definedName>
    <definedName name="P1_flight_data_true_6" localSheetId="2">'Leitura Dados de Vôo (2)'!$D$2:$D$50</definedName>
    <definedName name="P1_flight_data_true_6" localSheetId="3">'T77 - 1'!$D$2:$D$50</definedName>
    <definedName name="P1_flight_data_true_6" localSheetId="4">'T77 - 2'!$D$2:$D$50</definedName>
    <definedName name="P1_flight_data_true_6" localSheetId="5">'T78 - 1'!$D$2:$D$50</definedName>
    <definedName name="P1_flight_data_true_6" localSheetId="6">'T78 - 2'!$D$2:$D$50</definedName>
    <definedName name="P1_flight_data_true_6" localSheetId="7">'T79 - 1'!$D$2:$D$50</definedName>
    <definedName name="P1_flight_data_true_6" localSheetId="8">'T79 - 2'!$D$2:$D$50</definedName>
    <definedName name="P1_flight_data_true_6" localSheetId="9">'T80'!$D$2:$D$50</definedName>
    <definedName name="P1_flight_data_true_6" localSheetId="10">'T81'!$D$2:$D$50</definedName>
    <definedName name="P1_flight_data_true_60" localSheetId="1">'Leitura Dados de Vôo'!$D$2:$D$42</definedName>
    <definedName name="P1_flight_data_true_60" localSheetId="2">'Leitura Dados de Vôo (2)'!$D$2:$D$42</definedName>
    <definedName name="P1_flight_data_true_60" localSheetId="3">'T77 - 1'!$D$2:$D$42</definedName>
    <definedName name="P1_flight_data_true_60" localSheetId="4">'T77 - 2'!$D$2:$D$42</definedName>
    <definedName name="P1_flight_data_true_60" localSheetId="5">'T78 - 1'!$D$2:$D$42</definedName>
    <definedName name="P1_flight_data_true_60" localSheetId="6">'T78 - 2'!$D$2:$D$42</definedName>
    <definedName name="P1_flight_data_true_60" localSheetId="7">'T79 - 1'!$D$2:$D$42</definedName>
    <definedName name="P1_flight_data_true_60" localSheetId="8">'T79 - 2'!$D$2:$D$42</definedName>
    <definedName name="P1_flight_data_true_60" localSheetId="9">'T80'!$D$2:$D$42</definedName>
    <definedName name="P1_flight_data_true_60" localSheetId="10">'T81'!$D$2:$D$42</definedName>
    <definedName name="P1_flight_data_true_61" localSheetId="1">'Leitura Dados de Vôo'!$D$2:$D$37</definedName>
    <definedName name="P1_flight_data_true_61" localSheetId="2">'Leitura Dados de Vôo (2)'!$D$2:$D$37</definedName>
    <definedName name="P1_flight_data_true_61" localSheetId="3">'T77 - 1'!$D$2:$D$37</definedName>
    <definedName name="P1_flight_data_true_61" localSheetId="4">'T77 - 2'!$D$2:$D$37</definedName>
    <definedName name="P1_flight_data_true_61" localSheetId="5">'T78 - 1'!$D$2:$D$37</definedName>
    <definedName name="P1_flight_data_true_61" localSheetId="6">'T78 - 2'!$D$2:$D$37</definedName>
    <definedName name="P1_flight_data_true_61" localSheetId="7">'T79 - 1'!$D$2:$D$37</definedName>
    <definedName name="P1_flight_data_true_61" localSheetId="8">'T79 - 2'!$D$2:$D$37</definedName>
    <definedName name="P1_flight_data_true_61" localSheetId="9">'T80'!$D$2:$D$37</definedName>
    <definedName name="P1_flight_data_true_61" localSheetId="10">'T81'!$D$2:$D$37</definedName>
    <definedName name="P1_flight_data_true_62" localSheetId="1">'Leitura Dados de Vôo'!$D$2:$D$37</definedName>
    <definedName name="P1_flight_data_true_62" localSheetId="2">'Leitura Dados de Vôo (2)'!$D$2:$D$37</definedName>
    <definedName name="P1_flight_data_true_62" localSheetId="3">'T77 - 1'!$D$2:$D$37</definedName>
    <definedName name="P1_flight_data_true_62" localSheetId="4">'T77 - 2'!$D$2:$D$37</definedName>
    <definedName name="P1_flight_data_true_62" localSheetId="5">'T78 - 1'!$D$2:$D$37</definedName>
    <definedName name="P1_flight_data_true_62" localSheetId="6">'T78 - 2'!$D$2:$D$37</definedName>
    <definedName name="P1_flight_data_true_62" localSheetId="7">'T79 - 1'!$D$2:$D$37</definedName>
    <definedName name="P1_flight_data_true_62" localSheetId="8">'T79 - 2'!$D$2:$D$37</definedName>
    <definedName name="P1_flight_data_true_62" localSheetId="9">'T80'!$D$2:$D$37</definedName>
    <definedName name="P1_flight_data_true_62" localSheetId="10">'T81'!$D$2:$D$37</definedName>
    <definedName name="P1_flight_data_true_63" localSheetId="1">'Leitura Dados de Vôo'!$D$2:$D$37</definedName>
    <definedName name="P1_flight_data_true_63" localSheetId="2">'Leitura Dados de Vôo (2)'!$D$2:$D$37</definedName>
    <definedName name="P1_flight_data_true_63" localSheetId="3">'T77 - 1'!$D$2:$D$37</definedName>
    <definedName name="P1_flight_data_true_63" localSheetId="4">'T77 - 2'!$D$2:$D$37</definedName>
    <definedName name="P1_flight_data_true_63" localSheetId="5">'T78 - 1'!$D$2:$D$37</definedName>
    <definedName name="P1_flight_data_true_63" localSheetId="6">'T78 - 2'!$D$2:$D$37</definedName>
    <definedName name="P1_flight_data_true_63" localSheetId="7">'T79 - 1'!$D$2:$D$37</definedName>
    <definedName name="P1_flight_data_true_63" localSheetId="8">'T79 - 2'!$D$2:$D$37</definedName>
    <definedName name="P1_flight_data_true_63" localSheetId="9">'T80'!$D$2:$D$37</definedName>
    <definedName name="P1_flight_data_true_63" localSheetId="10">'T81'!$D$2:$D$37</definedName>
    <definedName name="P1_flight_data_true_64" localSheetId="1">'Leitura Dados de Vôo'!$D$2:$D$40</definedName>
    <definedName name="P1_flight_data_true_64" localSheetId="2">'Leitura Dados de Vôo (2)'!$D$2:$D$40</definedName>
    <definedName name="P1_flight_data_true_64" localSheetId="3">'T77 - 1'!$D$2:$D$40</definedName>
    <definedName name="P1_flight_data_true_64" localSheetId="4">'T77 - 2'!$D$2:$D$40</definedName>
    <definedName name="P1_flight_data_true_64" localSheetId="5">'T78 - 1'!$D$2:$D$40</definedName>
    <definedName name="P1_flight_data_true_64" localSheetId="6">'T78 - 2'!$D$2:$D$40</definedName>
    <definedName name="P1_flight_data_true_64" localSheetId="7">'T79 - 1'!$D$2:$D$40</definedName>
    <definedName name="P1_flight_data_true_64" localSheetId="8">'T79 - 2'!$D$2:$D$40</definedName>
    <definedName name="P1_flight_data_true_64" localSheetId="9">'T80'!$D$2:$D$40</definedName>
    <definedName name="P1_flight_data_true_64" localSheetId="10">'T81'!$D$2:$D$40</definedName>
    <definedName name="P1_flight_data_true_65" localSheetId="1">'Leitura Dados de Vôo'!$D$2:$D$46</definedName>
    <definedName name="P1_flight_data_true_65" localSheetId="2">'Leitura Dados de Vôo (2)'!$D$2:$D$46</definedName>
    <definedName name="P1_flight_data_true_65" localSheetId="3">'T77 - 1'!$D$2:$D$46</definedName>
    <definedName name="P1_flight_data_true_65" localSheetId="4">'T77 - 2'!$D$2:$D$46</definedName>
    <definedName name="P1_flight_data_true_65" localSheetId="5">'T78 - 1'!$D$2:$D$46</definedName>
    <definedName name="P1_flight_data_true_65" localSheetId="6">'T78 - 2'!$D$2:$D$46</definedName>
    <definedName name="P1_flight_data_true_65" localSheetId="7">'T79 - 1'!$D$2:$D$46</definedName>
    <definedName name="P1_flight_data_true_65" localSheetId="8">'T79 - 2'!$D$2:$D$46</definedName>
    <definedName name="P1_flight_data_true_65" localSheetId="9">'T80'!$D$2:$D$46</definedName>
    <definedName name="P1_flight_data_true_65" localSheetId="10">'T81'!$D$2:$D$46</definedName>
    <definedName name="P1_flight_data_true_66" localSheetId="1">'Leitura Dados de Vôo'!$D$2:$D$40</definedName>
    <definedName name="P1_flight_data_true_66" localSheetId="2">'Leitura Dados de Vôo (2)'!$D$2:$D$40</definedName>
    <definedName name="P1_flight_data_true_66" localSheetId="3">'T77 - 1'!$D$2:$D$40</definedName>
    <definedName name="P1_flight_data_true_66" localSheetId="4">'T77 - 2'!$D$2:$D$40</definedName>
    <definedName name="P1_flight_data_true_66" localSheetId="5">'T78 - 1'!$D$2:$D$40</definedName>
    <definedName name="P1_flight_data_true_66" localSheetId="6">'T78 - 2'!$D$2:$D$40</definedName>
    <definedName name="P1_flight_data_true_66" localSheetId="7">'T79 - 1'!$D$2:$D$40</definedName>
    <definedName name="P1_flight_data_true_66" localSheetId="8">'T79 - 2'!$D$2:$D$40</definedName>
    <definedName name="P1_flight_data_true_66" localSheetId="9">'T80'!$D$2:$D$40</definedName>
    <definedName name="P1_flight_data_true_66" localSheetId="10">'T81'!$D$2:$D$40</definedName>
    <definedName name="P1_flight_data_true_67" localSheetId="1">'Leitura Dados de Vôo'!$D$2:$D$39</definedName>
    <definedName name="P1_flight_data_true_67" localSheetId="2">'Leitura Dados de Vôo (2)'!$D$2:$D$39</definedName>
    <definedName name="P1_flight_data_true_67" localSheetId="3">'T77 - 1'!$D$2:$D$39</definedName>
    <definedName name="P1_flight_data_true_67" localSheetId="4">'T77 - 2'!$D$2:$D$39</definedName>
    <definedName name="P1_flight_data_true_67" localSheetId="5">'T78 - 1'!$D$2:$D$39</definedName>
    <definedName name="P1_flight_data_true_67" localSheetId="6">'T78 - 2'!$D$2:$D$39</definedName>
    <definedName name="P1_flight_data_true_67" localSheetId="7">'T79 - 1'!$D$2:$D$39</definedName>
    <definedName name="P1_flight_data_true_67" localSheetId="8">'T79 - 2'!$D$2:$D$39</definedName>
    <definedName name="P1_flight_data_true_67" localSheetId="9">'T80'!$D$2:$D$39</definedName>
    <definedName name="P1_flight_data_true_67" localSheetId="10">'T81'!$D$2:$D$39</definedName>
    <definedName name="P1_flight_data_true_68" localSheetId="1">'Leitura Dados de Vôo'!$D$2:$D$43</definedName>
    <definedName name="P1_flight_data_true_68" localSheetId="2">'Leitura Dados de Vôo (2)'!$D$2:$D$43</definedName>
    <definedName name="P1_flight_data_true_68" localSheetId="3">'T77 - 1'!$D$2:$D$43</definedName>
    <definedName name="P1_flight_data_true_68" localSheetId="4">'T77 - 2'!$D$2:$D$43</definedName>
    <definedName name="P1_flight_data_true_68" localSheetId="5">'T78 - 1'!$D$2:$D$43</definedName>
    <definedName name="P1_flight_data_true_68" localSheetId="6">'T78 - 2'!$D$2:$D$43</definedName>
    <definedName name="P1_flight_data_true_68" localSheetId="7">'T79 - 1'!$D$2:$D$43</definedName>
    <definedName name="P1_flight_data_true_68" localSheetId="8">'T79 - 2'!$D$2:$D$43</definedName>
    <definedName name="P1_flight_data_true_68" localSheetId="9">'T80'!$D$2:$D$43</definedName>
    <definedName name="P1_flight_data_true_68" localSheetId="10">'T81'!$D$2:$D$43</definedName>
    <definedName name="P1_flight_data_true_69" localSheetId="1">'Leitura Dados de Vôo'!$D$2:$D$39</definedName>
    <definedName name="P1_flight_data_true_69" localSheetId="2">'Leitura Dados de Vôo (2)'!$D$2:$D$43</definedName>
    <definedName name="P1_flight_data_true_69" localSheetId="3">'T77 - 1'!$D$2:$D$39</definedName>
    <definedName name="P1_flight_data_true_69" localSheetId="4">'T77 - 2'!$D$2:$D$39</definedName>
    <definedName name="P1_flight_data_true_69" localSheetId="5">'T78 - 1'!$D$2:$D$39</definedName>
    <definedName name="P1_flight_data_true_69" localSheetId="6">'T78 - 2'!$D$2:$D$39</definedName>
    <definedName name="P1_flight_data_true_69" localSheetId="7">'T79 - 1'!$D$2:$D$39</definedName>
    <definedName name="P1_flight_data_true_69" localSheetId="8">'T79 - 2'!$D$2:$D$39</definedName>
    <definedName name="P1_flight_data_true_69" localSheetId="9">'T80'!$D$2:$D$39</definedName>
    <definedName name="P1_flight_data_true_69" localSheetId="10">'T81'!$D$2:$D$39</definedName>
    <definedName name="P1_flight_data_true_7" localSheetId="1">'Leitura Dados de Vôo'!#REF!</definedName>
    <definedName name="P1_flight_data_true_7" localSheetId="2">'Leitura Dados de Vôo (2)'!#REF!</definedName>
    <definedName name="P1_flight_data_true_7" localSheetId="3">'T77 - 1'!#REF!</definedName>
    <definedName name="P1_flight_data_true_7" localSheetId="4">'T77 - 2'!#REF!</definedName>
    <definedName name="P1_flight_data_true_7" localSheetId="5">'T78 - 1'!#REF!</definedName>
    <definedName name="P1_flight_data_true_7" localSheetId="6">'T78 - 2'!#REF!</definedName>
    <definedName name="P1_flight_data_true_7" localSheetId="7">'T79 - 1'!#REF!</definedName>
    <definedName name="P1_flight_data_true_7" localSheetId="8">'T79 - 2'!#REF!</definedName>
    <definedName name="P1_flight_data_true_7" localSheetId="9">'T80'!#REF!</definedName>
    <definedName name="P1_flight_data_true_7" localSheetId="10">'T81'!#REF!</definedName>
    <definedName name="P1_flight_data_true_70" localSheetId="1">'Leitura Dados de Vôo'!$D$2:$D$38</definedName>
    <definedName name="P1_flight_data_true_70" localSheetId="3">'T77 - 1'!$D$2:$D$38</definedName>
    <definedName name="P1_flight_data_true_70" localSheetId="4">'T77 - 2'!$D$2:$D$38</definedName>
    <definedName name="P1_flight_data_true_70" localSheetId="5">'T78 - 1'!$D$2:$D$38</definedName>
    <definedName name="P1_flight_data_true_70" localSheetId="6">'T78 - 2'!$D$2:$D$38</definedName>
    <definedName name="P1_flight_data_true_70" localSheetId="7">'T79 - 1'!$D$2:$D$38</definedName>
    <definedName name="P1_flight_data_true_70" localSheetId="8">'T79 - 2'!$D$2:$D$38</definedName>
    <definedName name="P1_flight_data_true_70" localSheetId="9">'T80'!$D$2:$D$38</definedName>
    <definedName name="P1_flight_data_true_70" localSheetId="10">'T81'!$D$2:$D$38</definedName>
    <definedName name="P1_flight_data_true_71" localSheetId="1">'Leitura Dados de Vôo'!$D$2:$D$38</definedName>
    <definedName name="P1_flight_data_true_71" localSheetId="3">'T77 - 1'!$D$2:$D$38</definedName>
    <definedName name="P1_flight_data_true_71" localSheetId="4">'T77 - 2'!$D$2:$D$38</definedName>
    <definedName name="P1_flight_data_true_71" localSheetId="5">'T78 - 1'!$D$2:$D$38</definedName>
    <definedName name="P1_flight_data_true_71" localSheetId="6">'T78 - 2'!$D$2:$D$38</definedName>
    <definedName name="P1_flight_data_true_71" localSheetId="7">'T79 - 1'!$D$2:$D$38</definedName>
    <definedName name="P1_flight_data_true_71" localSheetId="8">'T79 - 2'!$D$2:$D$38</definedName>
    <definedName name="P1_flight_data_true_71" localSheetId="9">'T80'!$D$2:$D$38</definedName>
    <definedName name="P1_flight_data_true_71" localSheetId="10">'T81'!$D$2:$D$38</definedName>
    <definedName name="P1_flight_data_true_72" localSheetId="1">'Leitura Dados de Vôo'!$D$2:$D$37</definedName>
    <definedName name="P1_flight_data_true_72" localSheetId="3">'T77 - 1'!$D$2:$D$37</definedName>
    <definedName name="P1_flight_data_true_72" localSheetId="4">'T77 - 2'!$D$2:$D$37</definedName>
    <definedName name="P1_flight_data_true_72" localSheetId="5">'T78 - 1'!$D$2:$D$37</definedName>
    <definedName name="P1_flight_data_true_72" localSheetId="6">'T78 - 2'!$D$2:$D$37</definedName>
    <definedName name="P1_flight_data_true_72" localSheetId="7">'T79 - 1'!$D$2:$D$37</definedName>
    <definedName name="P1_flight_data_true_72" localSheetId="8">'T79 - 2'!$D$2:$D$37</definedName>
    <definedName name="P1_flight_data_true_72" localSheetId="9">'T80'!$D$2:$D$37</definedName>
    <definedName name="P1_flight_data_true_72" localSheetId="10">'T81'!$D$2:$D$37</definedName>
    <definedName name="P1_flight_data_true_73" localSheetId="1">'Leitura Dados de Vôo'!$D$2:$D$36</definedName>
    <definedName name="P1_flight_data_true_73" localSheetId="3">'T77 - 1'!$D$2:$D$36</definedName>
    <definedName name="P1_flight_data_true_73" localSheetId="4">'T77 - 2'!$D$2:$D$36</definedName>
    <definedName name="P1_flight_data_true_73" localSheetId="5">'T78 - 1'!$D$2:$D$36</definedName>
    <definedName name="P1_flight_data_true_73" localSheetId="6">'T78 - 2'!$D$2:$D$36</definedName>
    <definedName name="P1_flight_data_true_73" localSheetId="7">'T79 - 1'!$D$2:$D$36</definedName>
    <definedName name="P1_flight_data_true_73" localSheetId="8">'T79 - 2'!$D$2:$D$36</definedName>
    <definedName name="P1_flight_data_true_73" localSheetId="9">'T80'!$D$2:$D$36</definedName>
    <definedName name="P1_flight_data_true_73" localSheetId="10">'T81'!$D$2:$D$36</definedName>
    <definedName name="P1_flight_data_true_74" localSheetId="1">'Leitura Dados de Vôo'!$D$2:$D$95</definedName>
    <definedName name="P1_flight_data_true_74" localSheetId="3">'T77 - 1'!$D$2:$D$95</definedName>
    <definedName name="P1_flight_data_true_74" localSheetId="4">'T77 - 2'!$D$2:$D$95</definedName>
    <definedName name="P1_flight_data_true_74" localSheetId="5">'T78 - 1'!$D$2:$D$95</definedName>
    <definedName name="P1_flight_data_true_74" localSheetId="6">'T78 - 2'!$D$2:$D$95</definedName>
    <definedName name="P1_flight_data_true_74" localSheetId="7">'T79 - 1'!$D$2:$D$95</definedName>
    <definedName name="P1_flight_data_true_74" localSheetId="8">'T79 - 2'!$D$2:$D$95</definedName>
    <definedName name="P1_flight_data_true_74" localSheetId="9">'T80'!$D$2:$D$95</definedName>
    <definedName name="P1_flight_data_true_74" localSheetId="10">'T81'!$D$2:$D$95</definedName>
    <definedName name="P1_flight_data_true_75" localSheetId="1">'Leitura Dados de Vôo'!$D$2:$D$42</definedName>
    <definedName name="P1_flight_data_true_75" localSheetId="4">'T77 - 2'!$D$2:$D$112</definedName>
    <definedName name="P1_flight_data_true_75" localSheetId="5">'T78 - 1'!$D$2:$D$112</definedName>
    <definedName name="P1_flight_data_true_75" localSheetId="6">'T78 - 2'!$D$2:$D$112</definedName>
    <definedName name="P1_flight_data_true_75" localSheetId="7">'T79 - 1'!$D$2:$D$112</definedName>
    <definedName name="P1_flight_data_true_75" localSheetId="8">'T79 - 2'!$D$2:$D$112</definedName>
    <definedName name="P1_flight_data_true_75" localSheetId="9">'T80'!$D$2:$D$42</definedName>
    <definedName name="P1_flight_data_true_75" localSheetId="10">'T81'!$D$2:$D$42</definedName>
    <definedName name="P1_flight_data_true_76" localSheetId="1">'Leitura Dados de Vôo'!$D$2:$D$112</definedName>
    <definedName name="P1_flight_data_true_76" localSheetId="5">'T78 - 1'!$D$2:$D$100</definedName>
    <definedName name="P1_flight_data_true_76" localSheetId="6">'T78 - 2'!$D$2:$D$100</definedName>
    <definedName name="P1_flight_data_true_76" localSheetId="7">'T79 - 1'!$D$2:$D$100</definedName>
    <definedName name="P1_flight_data_true_76" localSheetId="8">'T79 - 2'!$D$2:$D$100</definedName>
    <definedName name="P1_flight_data_true_76" localSheetId="9">'T80'!$D$2:$D$112</definedName>
    <definedName name="P1_flight_data_true_76" localSheetId="10">'T81'!$D$2:$D$112</definedName>
    <definedName name="P1_flight_data_true_77" localSheetId="1">'Leitura Dados de Vôo'!$D$2:$D$38</definedName>
    <definedName name="P1_flight_data_true_77" localSheetId="6">'T78 - 2'!$D$2:$D$112</definedName>
    <definedName name="P1_flight_data_true_77" localSheetId="7">'T79 - 1'!$D$2:$D$112</definedName>
    <definedName name="P1_flight_data_true_77" localSheetId="8">'T79 - 2'!$D$2:$D$112</definedName>
    <definedName name="P1_flight_data_true_77" localSheetId="9">'T80'!$D$2:$D$38</definedName>
    <definedName name="P1_flight_data_true_77" localSheetId="10">'T81'!$D$2:$D$38</definedName>
    <definedName name="P1_flight_data_true_78" localSheetId="1">'Leitura Dados de Vôo'!$D$2:$D$39</definedName>
    <definedName name="P1_flight_data_true_78" localSheetId="7">'T79 - 1'!$D$2:$D$41</definedName>
    <definedName name="P1_flight_data_true_78" localSheetId="8">'T79 - 2'!$D$2:$D$58</definedName>
    <definedName name="P1_flight_data_true_78" localSheetId="9">'T80'!$D$2:$D$39</definedName>
    <definedName name="P1_flight_data_true_78" localSheetId="10">'T81'!$D$2:$D$39</definedName>
    <definedName name="P1_flight_data_true_79" localSheetId="1">'Leitura Dados de Vôo'!$D$2:$D$38</definedName>
    <definedName name="P1_flight_data_true_79" localSheetId="9">'T80'!$D$2:$D$48</definedName>
    <definedName name="P1_flight_data_true_79" localSheetId="10">'T81'!$D$2:$D$48</definedName>
    <definedName name="P1_flight_data_true_8" localSheetId="1">'Leitura Dados de Vôo'!$D$2:$D$50</definedName>
    <definedName name="P1_flight_data_true_8" localSheetId="2">'Leitura Dados de Vôo (2)'!$D$2:$D$50</definedName>
    <definedName name="P1_flight_data_true_8" localSheetId="3">'T77 - 1'!$D$2:$D$50</definedName>
    <definedName name="P1_flight_data_true_8" localSheetId="4">'T77 - 2'!$D$2:$D$50</definedName>
    <definedName name="P1_flight_data_true_8" localSheetId="5">'T78 - 1'!$D$2:$D$50</definedName>
    <definedName name="P1_flight_data_true_8" localSheetId="6">'T78 - 2'!$D$2:$D$50</definedName>
    <definedName name="P1_flight_data_true_8" localSheetId="7">'T79 - 1'!$D$2:$D$50</definedName>
    <definedName name="P1_flight_data_true_8" localSheetId="8">'T79 - 2'!$D$2:$D$50</definedName>
    <definedName name="P1_flight_data_true_8" localSheetId="9">'T80'!$D$2:$D$50</definedName>
    <definedName name="P1_flight_data_true_8" localSheetId="10">'T81'!$D$2:$D$50</definedName>
    <definedName name="P1_flight_data_true_80" localSheetId="10">'T81'!$D$2:$D$79</definedName>
    <definedName name="P1_flight_data_true_9" localSheetId="1">'Leitura Dados de Vôo'!$D$2:$D$51</definedName>
    <definedName name="P1_flight_data_true_9" localSheetId="2">'Leitura Dados de Vôo (2)'!$D$2:$D$51</definedName>
    <definedName name="P1_flight_data_true_9" localSheetId="3">'T77 - 1'!$D$2:$D$51</definedName>
    <definedName name="P1_flight_data_true_9" localSheetId="4">'T77 - 2'!$D$2:$D$51</definedName>
    <definedName name="P1_flight_data_true_9" localSheetId="5">'T78 - 1'!$D$2:$D$51</definedName>
    <definedName name="P1_flight_data_true_9" localSheetId="6">'T78 - 2'!$D$2:$D$51</definedName>
    <definedName name="P1_flight_data_true_9" localSheetId="7">'T79 - 1'!$D$2:$D$51</definedName>
    <definedName name="P1_flight_data_true_9" localSheetId="8">'T79 - 2'!$D$2:$D$51</definedName>
    <definedName name="P1_flight_data_true_9" localSheetId="9">'T80'!$D$2:$D$51</definedName>
    <definedName name="P1_flight_data_true_9" localSheetId="10">'T81'!$D$2:$D$51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8" i="74" l="1"/>
  <c r="E248" i="74"/>
  <c r="F247" i="74"/>
  <c r="E247" i="74"/>
  <c r="F246" i="74"/>
  <c r="E246" i="74"/>
  <c r="F245" i="74"/>
  <c r="E245" i="74"/>
  <c r="F244" i="74"/>
  <c r="E244" i="74"/>
  <c r="F243" i="74"/>
  <c r="E243" i="74"/>
  <c r="F242" i="74"/>
  <c r="E242" i="74"/>
  <c r="F241" i="74"/>
  <c r="E241" i="74"/>
  <c r="F240" i="74"/>
  <c r="E240" i="74"/>
  <c r="F239" i="74"/>
  <c r="E239" i="74"/>
  <c r="F238" i="74"/>
  <c r="E238" i="74"/>
  <c r="F237" i="74"/>
  <c r="E237" i="74"/>
  <c r="F236" i="74"/>
  <c r="E236" i="74"/>
  <c r="F235" i="74"/>
  <c r="E235" i="74"/>
  <c r="F234" i="74"/>
  <c r="E234" i="74"/>
  <c r="F233" i="74"/>
  <c r="E233" i="74"/>
  <c r="F232" i="74"/>
  <c r="E232" i="74"/>
  <c r="F231" i="74"/>
  <c r="E231" i="74"/>
  <c r="F230" i="74"/>
  <c r="E230" i="74"/>
  <c r="F229" i="74"/>
  <c r="E229" i="74"/>
  <c r="F228" i="74"/>
  <c r="E228" i="74"/>
  <c r="F227" i="74"/>
  <c r="E227" i="74"/>
  <c r="F226" i="74"/>
  <c r="E226" i="74"/>
  <c r="F225" i="74"/>
  <c r="E225" i="74"/>
  <c r="F224" i="74"/>
  <c r="E224" i="74"/>
  <c r="F223" i="74"/>
  <c r="E223" i="74"/>
  <c r="F222" i="74"/>
  <c r="E222" i="74"/>
  <c r="F221" i="74"/>
  <c r="E221" i="74"/>
  <c r="F220" i="74"/>
  <c r="E220" i="74"/>
  <c r="F219" i="74"/>
  <c r="E219" i="74"/>
  <c r="F218" i="74"/>
  <c r="E218" i="74"/>
  <c r="F217" i="74"/>
  <c r="E217" i="74"/>
  <c r="F216" i="74"/>
  <c r="E216" i="74"/>
  <c r="F215" i="74"/>
  <c r="E215" i="74"/>
  <c r="F214" i="74"/>
  <c r="E214" i="74"/>
  <c r="F213" i="74"/>
  <c r="E213" i="74"/>
  <c r="F212" i="74"/>
  <c r="E212" i="74"/>
  <c r="F211" i="74"/>
  <c r="E211" i="74"/>
  <c r="F210" i="74"/>
  <c r="E210" i="74"/>
  <c r="F209" i="74"/>
  <c r="E209" i="74"/>
  <c r="F208" i="74"/>
  <c r="E208" i="74"/>
  <c r="F207" i="74"/>
  <c r="E207" i="74"/>
  <c r="F206" i="74"/>
  <c r="E206" i="74"/>
  <c r="F205" i="74"/>
  <c r="E205" i="74"/>
  <c r="F204" i="74"/>
  <c r="E204" i="74"/>
  <c r="F203" i="74"/>
  <c r="E203" i="74"/>
  <c r="F202" i="74"/>
  <c r="E202" i="74"/>
  <c r="F201" i="74"/>
  <c r="E201" i="74"/>
  <c r="F200" i="74"/>
  <c r="E200" i="74"/>
  <c r="F199" i="74"/>
  <c r="E199" i="74"/>
  <c r="F198" i="74"/>
  <c r="E198" i="74"/>
  <c r="F197" i="74"/>
  <c r="E197" i="74"/>
  <c r="F196" i="74"/>
  <c r="E196" i="74"/>
  <c r="F195" i="74"/>
  <c r="E195" i="74"/>
  <c r="F194" i="74"/>
  <c r="E194" i="74"/>
  <c r="F193" i="74"/>
  <c r="E193" i="74"/>
  <c r="F192" i="74"/>
  <c r="E192" i="74"/>
  <c r="F191" i="74"/>
  <c r="E191" i="74"/>
  <c r="F190" i="74"/>
  <c r="E190" i="74"/>
  <c r="F189" i="74"/>
  <c r="E189" i="74"/>
  <c r="F188" i="74"/>
  <c r="E188" i="74"/>
  <c r="F187" i="74"/>
  <c r="E187" i="74"/>
  <c r="F186" i="74"/>
  <c r="E186" i="74"/>
  <c r="F185" i="74"/>
  <c r="E185" i="74"/>
  <c r="F184" i="74"/>
  <c r="E184" i="74"/>
  <c r="F183" i="74"/>
  <c r="E183" i="74"/>
  <c r="F182" i="74"/>
  <c r="E182" i="74"/>
  <c r="F181" i="74"/>
  <c r="E181" i="74"/>
  <c r="F180" i="74"/>
  <c r="E180" i="74"/>
  <c r="F179" i="74"/>
  <c r="E179" i="74"/>
  <c r="F178" i="74"/>
  <c r="E178" i="74"/>
  <c r="F177" i="74"/>
  <c r="E177" i="74"/>
  <c r="F176" i="74"/>
  <c r="E176" i="74"/>
  <c r="F175" i="74"/>
  <c r="E175" i="74"/>
  <c r="F174" i="74"/>
  <c r="E174" i="74"/>
  <c r="F173" i="74"/>
  <c r="E173" i="74"/>
  <c r="F172" i="74"/>
  <c r="E172" i="74"/>
  <c r="F171" i="74"/>
  <c r="E171" i="74"/>
  <c r="F170" i="74"/>
  <c r="E170" i="74"/>
  <c r="F169" i="74"/>
  <c r="E169" i="74"/>
  <c r="F168" i="74"/>
  <c r="E168" i="74"/>
  <c r="F167" i="74"/>
  <c r="E167" i="74"/>
  <c r="F166" i="74"/>
  <c r="E166" i="74"/>
  <c r="F165" i="74"/>
  <c r="E165" i="74"/>
  <c r="F164" i="74"/>
  <c r="E164" i="74"/>
  <c r="F163" i="74"/>
  <c r="E163" i="74"/>
  <c r="F162" i="74"/>
  <c r="E162" i="74"/>
  <c r="F161" i="74"/>
  <c r="E161" i="74"/>
  <c r="F160" i="74"/>
  <c r="E160" i="74"/>
  <c r="F159" i="74"/>
  <c r="E159" i="74"/>
  <c r="F158" i="74"/>
  <c r="E158" i="74"/>
  <c r="F157" i="74"/>
  <c r="E157" i="74"/>
  <c r="F156" i="74"/>
  <c r="E156" i="74"/>
  <c r="F155" i="74"/>
  <c r="E155" i="74"/>
  <c r="F154" i="74"/>
  <c r="E154" i="74"/>
  <c r="F153" i="74"/>
  <c r="E153" i="74"/>
  <c r="F152" i="74"/>
  <c r="E152" i="74"/>
  <c r="F151" i="74"/>
  <c r="E151" i="74"/>
  <c r="F150" i="74"/>
  <c r="E150" i="74"/>
  <c r="F149" i="74"/>
  <c r="E149" i="74"/>
  <c r="F148" i="74"/>
  <c r="E148" i="74"/>
  <c r="F147" i="74"/>
  <c r="E147" i="74"/>
  <c r="F146" i="74"/>
  <c r="E146" i="74"/>
  <c r="F145" i="74"/>
  <c r="E145" i="74"/>
  <c r="F144" i="74"/>
  <c r="E144" i="74"/>
  <c r="F143" i="74"/>
  <c r="E143" i="74"/>
  <c r="F142" i="74"/>
  <c r="E142" i="74"/>
  <c r="F141" i="74"/>
  <c r="E141" i="74"/>
  <c r="F140" i="74"/>
  <c r="E140" i="74"/>
  <c r="F139" i="74"/>
  <c r="E139" i="74"/>
  <c r="F138" i="74"/>
  <c r="E138" i="74"/>
  <c r="F137" i="74"/>
  <c r="E137" i="74"/>
  <c r="F136" i="74"/>
  <c r="E136" i="74"/>
  <c r="F135" i="74"/>
  <c r="E135" i="74"/>
  <c r="F134" i="74"/>
  <c r="E134" i="74"/>
  <c r="F133" i="74"/>
  <c r="E133" i="74"/>
  <c r="F132" i="74"/>
  <c r="E132" i="74"/>
  <c r="F131" i="74"/>
  <c r="E131" i="74"/>
  <c r="F130" i="74"/>
  <c r="E130" i="74"/>
  <c r="F129" i="74"/>
  <c r="E129" i="74"/>
  <c r="F128" i="74"/>
  <c r="E128" i="74"/>
  <c r="F127" i="74"/>
  <c r="E127" i="74"/>
  <c r="F126" i="74"/>
  <c r="E126" i="74"/>
  <c r="F125" i="74"/>
  <c r="E125" i="74"/>
  <c r="F124" i="74"/>
  <c r="E124" i="74"/>
  <c r="F123" i="74"/>
  <c r="E123" i="74"/>
  <c r="F122" i="74"/>
  <c r="E122" i="74"/>
  <c r="F121" i="74"/>
  <c r="E121" i="74"/>
  <c r="F120" i="74"/>
  <c r="E120" i="74"/>
  <c r="F119" i="74"/>
  <c r="E119" i="74"/>
  <c r="F118" i="74"/>
  <c r="E118" i="74"/>
  <c r="F117" i="74"/>
  <c r="E117" i="74"/>
  <c r="F116" i="74"/>
  <c r="E116" i="74"/>
  <c r="F115" i="74"/>
  <c r="E115" i="74"/>
  <c r="F114" i="74"/>
  <c r="E114" i="74"/>
  <c r="F113" i="74"/>
  <c r="E113" i="74"/>
  <c r="F112" i="74"/>
  <c r="E112" i="74"/>
  <c r="F111" i="74"/>
  <c r="E111" i="74"/>
  <c r="F110" i="74"/>
  <c r="E110" i="74"/>
  <c r="F109" i="74"/>
  <c r="E109" i="74"/>
  <c r="F108" i="74"/>
  <c r="E108" i="74"/>
  <c r="F107" i="74"/>
  <c r="E107" i="74"/>
  <c r="F106" i="74"/>
  <c r="E106" i="74"/>
  <c r="F105" i="74"/>
  <c r="E105" i="74"/>
  <c r="F104" i="74"/>
  <c r="E104" i="74"/>
  <c r="F103" i="74"/>
  <c r="E103" i="74"/>
  <c r="F102" i="74"/>
  <c r="E102" i="74"/>
  <c r="F101" i="74"/>
  <c r="E101" i="74"/>
  <c r="F100" i="74"/>
  <c r="E100" i="74"/>
  <c r="F99" i="74"/>
  <c r="E99" i="74"/>
  <c r="F98" i="74"/>
  <c r="E98" i="74"/>
  <c r="F97" i="74"/>
  <c r="E97" i="74"/>
  <c r="F96" i="74"/>
  <c r="E96" i="74"/>
  <c r="F95" i="74"/>
  <c r="E95" i="74"/>
  <c r="F94" i="74"/>
  <c r="E94" i="74"/>
  <c r="F93" i="74"/>
  <c r="E93" i="74"/>
  <c r="F92" i="74"/>
  <c r="E92" i="74"/>
  <c r="F91" i="74"/>
  <c r="E91" i="74"/>
  <c r="F90" i="74"/>
  <c r="E90" i="74"/>
  <c r="F89" i="74"/>
  <c r="E89" i="74"/>
  <c r="F88" i="74"/>
  <c r="E88" i="74"/>
  <c r="F87" i="74"/>
  <c r="E87" i="74"/>
  <c r="F86" i="74"/>
  <c r="E86" i="74"/>
  <c r="F85" i="74"/>
  <c r="E85" i="74"/>
  <c r="F84" i="74"/>
  <c r="E84" i="74"/>
  <c r="F83" i="74"/>
  <c r="E83" i="74"/>
  <c r="F82" i="74"/>
  <c r="E82" i="74"/>
  <c r="F81" i="74"/>
  <c r="E81" i="74"/>
  <c r="F80" i="74"/>
  <c r="E80" i="74"/>
  <c r="E79" i="74"/>
  <c r="E78" i="74"/>
  <c r="E77" i="74"/>
  <c r="E76" i="74"/>
  <c r="E75" i="74"/>
  <c r="E74" i="74"/>
  <c r="E73" i="74"/>
  <c r="E72" i="74"/>
  <c r="E71" i="74"/>
  <c r="E70" i="74"/>
  <c r="E69" i="74"/>
  <c r="E68" i="74"/>
  <c r="E67" i="74"/>
  <c r="E66" i="74"/>
  <c r="E65" i="74"/>
  <c r="E64" i="74"/>
  <c r="E63" i="74"/>
  <c r="E62" i="74"/>
  <c r="E61" i="74"/>
  <c r="E60" i="74"/>
  <c r="E59" i="74"/>
  <c r="E58" i="74"/>
  <c r="E57" i="74"/>
  <c r="E56" i="74"/>
  <c r="E55" i="74"/>
  <c r="E54" i="74"/>
  <c r="E53" i="74"/>
  <c r="E52" i="74"/>
  <c r="E51" i="74"/>
  <c r="E50" i="74"/>
  <c r="E49" i="74"/>
  <c r="E48" i="74"/>
  <c r="E47" i="74"/>
  <c r="E46" i="74"/>
  <c r="E45" i="74"/>
  <c r="E44" i="74"/>
  <c r="E43" i="74"/>
  <c r="E42" i="74"/>
  <c r="E41" i="74"/>
  <c r="E40" i="74"/>
  <c r="E39" i="74"/>
  <c r="E38" i="74"/>
  <c r="E37" i="74"/>
  <c r="E36" i="74"/>
  <c r="E35" i="74"/>
  <c r="E34" i="74"/>
  <c r="E33" i="74"/>
  <c r="E32" i="74"/>
  <c r="E31" i="74"/>
  <c r="E30" i="74"/>
  <c r="E29" i="74"/>
  <c r="E28" i="74"/>
  <c r="E27" i="74"/>
  <c r="E26" i="74"/>
  <c r="E25" i="74"/>
  <c r="E24" i="74"/>
  <c r="E23" i="74"/>
  <c r="E22" i="74"/>
  <c r="E21" i="74"/>
  <c r="E20" i="74"/>
  <c r="E19" i="74"/>
  <c r="E18" i="74"/>
  <c r="E17" i="74"/>
  <c r="F17" i="74" s="1"/>
  <c r="E16" i="74"/>
  <c r="E15" i="74"/>
  <c r="E14" i="74"/>
  <c r="E13" i="74"/>
  <c r="E12" i="74"/>
  <c r="E11" i="74"/>
  <c r="F11" i="74" s="1"/>
  <c r="E10" i="74"/>
  <c r="E9" i="74"/>
  <c r="F9" i="74" s="1"/>
  <c r="E8" i="74"/>
  <c r="E4" i="74"/>
  <c r="E3" i="74"/>
  <c r="F42" i="74" s="1"/>
  <c r="F25" i="74" l="1"/>
  <c r="F33" i="74"/>
  <c r="F41" i="74"/>
  <c r="F49" i="74"/>
  <c r="F53" i="74"/>
  <c r="F57" i="74"/>
  <c r="F61" i="74"/>
  <c r="F65" i="74"/>
  <c r="F69" i="74"/>
  <c r="F73" i="74"/>
  <c r="F77" i="74"/>
  <c r="F19" i="74"/>
  <c r="F27" i="74"/>
  <c r="F35" i="74"/>
  <c r="F43" i="74"/>
  <c r="F50" i="74"/>
  <c r="F54" i="74"/>
  <c r="F58" i="74"/>
  <c r="F62" i="74"/>
  <c r="F66" i="74"/>
  <c r="F70" i="74"/>
  <c r="F74" i="74"/>
  <c r="F78" i="74"/>
  <c r="F13" i="74"/>
  <c r="F21" i="74"/>
  <c r="F29" i="74"/>
  <c r="F37" i="74"/>
  <c r="F45" i="74"/>
  <c r="F51" i="74"/>
  <c r="F55" i="74"/>
  <c r="F59" i="74"/>
  <c r="F63" i="74"/>
  <c r="F67" i="74"/>
  <c r="F71" i="74"/>
  <c r="F75" i="74"/>
  <c r="F79" i="74"/>
  <c r="F4" i="74"/>
  <c r="F15" i="74"/>
  <c r="F23" i="74"/>
  <c r="F31" i="74"/>
  <c r="F39" i="74"/>
  <c r="F47" i="74"/>
  <c r="F52" i="74"/>
  <c r="F56" i="74"/>
  <c r="F60" i="74"/>
  <c r="F64" i="74"/>
  <c r="F68" i="74"/>
  <c r="F72" i="74"/>
  <c r="F76" i="74"/>
  <c r="F8" i="74"/>
  <c r="F16" i="74"/>
  <c r="F24" i="74"/>
  <c r="F32" i="74"/>
  <c r="F40" i="74"/>
  <c r="F48" i="74"/>
  <c r="F12" i="74"/>
  <c r="F20" i="74"/>
  <c r="F28" i="74"/>
  <c r="F36" i="74"/>
  <c r="F44" i="74"/>
  <c r="F14" i="74"/>
  <c r="F22" i="74"/>
  <c r="F30" i="74"/>
  <c r="F38" i="74"/>
  <c r="F46" i="74"/>
  <c r="F10" i="74"/>
  <c r="F18" i="74"/>
  <c r="F26" i="74"/>
  <c r="F34" i="74"/>
  <c r="F248" i="73"/>
  <c r="E248" i="73"/>
  <c r="F247" i="73"/>
  <c r="E247" i="73"/>
  <c r="F246" i="73"/>
  <c r="E246" i="73"/>
  <c r="F245" i="73"/>
  <c r="E245" i="73"/>
  <c r="F244" i="73"/>
  <c r="E244" i="73"/>
  <c r="F243" i="73"/>
  <c r="E243" i="73"/>
  <c r="F242" i="73"/>
  <c r="E242" i="73"/>
  <c r="F241" i="73"/>
  <c r="E241" i="73"/>
  <c r="F240" i="73"/>
  <c r="E240" i="73"/>
  <c r="F239" i="73"/>
  <c r="E239" i="73"/>
  <c r="F238" i="73"/>
  <c r="E238" i="73"/>
  <c r="F237" i="73"/>
  <c r="E237" i="73"/>
  <c r="F236" i="73"/>
  <c r="E236" i="73"/>
  <c r="F235" i="73"/>
  <c r="E235" i="73"/>
  <c r="F234" i="73"/>
  <c r="E234" i="73"/>
  <c r="F233" i="73"/>
  <c r="E233" i="73"/>
  <c r="F232" i="73"/>
  <c r="E232" i="73"/>
  <c r="F231" i="73"/>
  <c r="E231" i="73"/>
  <c r="F230" i="73"/>
  <c r="E230" i="73"/>
  <c r="F229" i="73"/>
  <c r="E229" i="73"/>
  <c r="F228" i="73"/>
  <c r="E228" i="73"/>
  <c r="F227" i="73"/>
  <c r="E227" i="73"/>
  <c r="F226" i="73"/>
  <c r="E226" i="73"/>
  <c r="F225" i="73"/>
  <c r="E225" i="73"/>
  <c r="F224" i="73"/>
  <c r="E224" i="73"/>
  <c r="F223" i="73"/>
  <c r="E223" i="73"/>
  <c r="F222" i="73"/>
  <c r="E222" i="73"/>
  <c r="F221" i="73"/>
  <c r="E221" i="73"/>
  <c r="F220" i="73"/>
  <c r="E220" i="73"/>
  <c r="F219" i="73"/>
  <c r="E219" i="73"/>
  <c r="F218" i="73"/>
  <c r="E218" i="73"/>
  <c r="F217" i="73"/>
  <c r="E217" i="73"/>
  <c r="F216" i="73"/>
  <c r="E216" i="73"/>
  <c r="F215" i="73"/>
  <c r="E215" i="73"/>
  <c r="F214" i="73"/>
  <c r="E214" i="73"/>
  <c r="F213" i="73"/>
  <c r="E213" i="73"/>
  <c r="F212" i="73"/>
  <c r="E212" i="73"/>
  <c r="F211" i="73"/>
  <c r="E211" i="73"/>
  <c r="F210" i="73"/>
  <c r="E210" i="73"/>
  <c r="F209" i="73"/>
  <c r="E209" i="73"/>
  <c r="F208" i="73"/>
  <c r="E208" i="73"/>
  <c r="F207" i="73"/>
  <c r="E207" i="73"/>
  <c r="F206" i="73"/>
  <c r="E206" i="73"/>
  <c r="F205" i="73"/>
  <c r="E205" i="73"/>
  <c r="F204" i="73"/>
  <c r="E204" i="73"/>
  <c r="F203" i="73"/>
  <c r="E203" i="73"/>
  <c r="F202" i="73"/>
  <c r="E202" i="73"/>
  <c r="F201" i="73"/>
  <c r="E201" i="73"/>
  <c r="F200" i="73"/>
  <c r="E200" i="73"/>
  <c r="F199" i="73"/>
  <c r="E199" i="73"/>
  <c r="F198" i="73"/>
  <c r="E198" i="73"/>
  <c r="F197" i="73"/>
  <c r="E197" i="73"/>
  <c r="F196" i="73"/>
  <c r="E196" i="73"/>
  <c r="F195" i="73"/>
  <c r="E195" i="73"/>
  <c r="F194" i="73"/>
  <c r="E194" i="73"/>
  <c r="F193" i="73"/>
  <c r="E193" i="73"/>
  <c r="F192" i="73"/>
  <c r="E192" i="73"/>
  <c r="F191" i="73"/>
  <c r="E191" i="73"/>
  <c r="F190" i="73"/>
  <c r="E190" i="73"/>
  <c r="F189" i="73"/>
  <c r="E189" i="73"/>
  <c r="F188" i="73"/>
  <c r="E188" i="73"/>
  <c r="F187" i="73"/>
  <c r="E187" i="73"/>
  <c r="F186" i="73"/>
  <c r="E186" i="73"/>
  <c r="F185" i="73"/>
  <c r="E185" i="73"/>
  <c r="F184" i="73"/>
  <c r="E184" i="73"/>
  <c r="F183" i="73"/>
  <c r="E183" i="73"/>
  <c r="F182" i="73"/>
  <c r="E182" i="73"/>
  <c r="F181" i="73"/>
  <c r="E181" i="73"/>
  <c r="F180" i="73"/>
  <c r="E180" i="73"/>
  <c r="F179" i="73"/>
  <c r="E179" i="73"/>
  <c r="F178" i="73"/>
  <c r="E178" i="73"/>
  <c r="F177" i="73"/>
  <c r="E177" i="73"/>
  <c r="F176" i="73"/>
  <c r="E176" i="73"/>
  <c r="F175" i="73"/>
  <c r="E175" i="73"/>
  <c r="F174" i="73"/>
  <c r="E174" i="73"/>
  <c r="F173" i="73"/>
  <c r="E173" i="73"/>
  <c r="F172" i="73"/>
  <c r="E172" i="73"/>
  <c r="F171" i="73"/>
  <c r="E171" i="73"/>
  <c r="F170" i="73"/>
  <c r="E170" i="73"/>
  <c r="F169" i="73"/>
  <c r="E169" i="73"/>
  <c r="F168" i="73"/>
  <c r="E168" i="73"/>
  <c r="F167" i="73"/>
  <c r="E167" i="73"/>
  <c r="F166" i="73"/>
  <c r="E166" i="73"/>
  <c r="F165" i="73"/>
  <c r="E165" i="73"/>
  <c r="F164" i="73"/>
  <c r="E164" i="73"/>
  <c r="F163" i="73"/>
  <c r="E163" i="73"/>
  <c r="F162" i="73"/>
  <c r="E162" i="73"/>
  <c r="F161" i="73"/>
  <c r="E161" i="73"/>
  <c r="F160" i="73"/>
  <c r="E160" i="73"/>
  <c r="F159" i="73"/>
  <c r="E159" i="73"/>
  <c r="F158" i="73"/>
  <c r="E158" i="73"/>
  <c r="F157" i="73"/>
  <c r="E157" i="73"/>
  <c r="F156" i="73"/>
  <c r="E156" i="73"/>
  <c r="F155" i="73"/>
  <c r="E155" i="73"/>
  <c r="F154" i="73"/>
  <c r="E154" i="73"/>
  <c r="F153" i="73"/>
  <c r="E153" i="73"/>
  <c r="F152" i="73"/>
  <c r="E152" i="73"/>
  <c r="F151" i="73"/>
  <c r="E151" i="73"/>
  <c r="F150" i="73"/>
  <c r="E150" i="73"/>
  <c r="F149" i="73"/>
  <c r="E149" i="73"/>
  <c r="F148" i="73"/>
  <c r="E148" i="73"/>
  <c r="F147" i="73"/>
  <c r="E147" i="73"/>
  <c r="F146" i="73"/>
  <c r="E146" i="73"/>
  <c r="F145" i="73"/>
  <c r="E145" i="73"/>
  <c r="F144" i="73"/>
  <c r="E144" i="73"/>
  <c r="F143" i="73"/>
  <c r="E143" i="73"/>
  <c r="F142" i="73"/>
  <c r="E142" i="73"/>
  <c r="F141" i="73"/>
  <c r="E141" i="73"/>
  <c r="F140" i="73"/>
  <c r="E140" i="73"/>
  <c r="F139" i="73"/>
  <c r="E139" i="73"/>
  <c r="F138" i="73"/>
  <c r="E138" i="73"/>
  <c r="F137" i="73"/>
  <c r="E137" i="73"/>
  <c r="F136" i="73"/>
  <c r="E136" i="73"/>
  <c r="F135" i="73"/>
  <c r="E135" i="73"/>
  <c r="F134" i="73"/>
  <c r="E134" i="73"/>
  <c r="F133" i="73"/>
  <c r="E133" i="73"/>
  <c r="F132" i="73"/>
  <c r="E132" i="73"/>
  <c r="F131" i="73"/>
  <c r="E131" i="73"/>
  <c r="F130" i="73"/>
  <c r="E130" i="73"/>
  <c r="F129" i="73"/>
  <c r="E129" i="73"/>
  <c r="F128" i="73"/>
  <c r="E128" i="73"/>
  <c r="F127" i="73"/>
  <c r="E127" i="73"/>
  <c r="F126" i="73"/>
  <c r="E126" i="73"/>
  <c r="F125" i="73"/>
  <c r="E125" i="73"/>
  <c r="F124" i="73"/>
  <c r="E124" i="73"/>
  <c r="F123" i="73"/>
  <c r="E123" i="73"/>
  <c r="F122" i="73"/>
  <c r="E122" i="73"/>
  <c r="F121" i="73"/>
  <c r="E121" i="73"/>
  <c r="F120" i="73"/>
  <c r="E120" i="73"/>
  <c r="F119" i="73"/>
  <c r="E119" i="73"/>
  <c r="F118" i="73"/>
  <c r="E118" i="73"/>
  <c r="F117" i="73"/>
  <c r="E117" i="73"/>
  <c r="F116" i="73"/>
  <c r="E116" i="73"/>
  <c r="F115" i="73"/>
  <c r="E115" i="73"/>
  <c r="F114" i="73"/>
  <c r="E114" i="73"/>
  <c r="F113" i="73"/>
  <c r="E113" i="73"/>
  <c r="F112" i="73"/>
  <c r="E112" i="73"/>
  <c r="F111" i="73"/>
  <c r="E111" i="73"/>
  <c r="F110" i="73"/>
  <c r="E110" i="73"/>
  <c r="F109" i="73"/>
  <c r="E109" i="73"/>
  <c r="F108" i="73"/>
  <c r="E108" i="73"/>
  <c r="F107" i="73"/>
  <c r="E107" i="73"/>
  <c r="F106" i="73"/>
  <c r="E106" i="73"/>
  <c r="F105" i="73"/>
  <c r="E105" i="73"/>
  <c r="F104" i="73"/>
  <c r="E104" i="73"/>
  <c r="F103" i="73"/>
  <c r="E103" i="73"/>
  <c r="F102" i="73"/>
  <c r="E102" i="73"/>
  <c r="F101" i="73"/>
  <c r="E101" i="73"/>
  <c r="F100" i="73"/>
  <c r="E100" i="73"/>
  <c r="F99" i="73"/>
  <c r="E99" i="73"/>
  <c r="F98" i="73"/>
  <c r="E98" i="73"/>
  <c r="F97" i="73"/>
  <c r="E97" i="73"/>
  <c r="F96" i="73"/>
  <c r="E96" i="73"/>
  <c r="F95" i="73"/>
  <c r="E95" i="73"/>
  <c r="F94" i="73"/>
  <c r="E94" i="73"/>
  <c r="F93" i="73"/>
  <c r="E93" i="73"/>
  <c r="F92" i="73"/>
  <c r="E92" i="73"/>
  <c r="F91" i="73"/>
  <c r="E91" i="73"/>
  <c r="F90" i="73"/>
  <c r="E90" i="73"/>
  <c r="F89" i="73"/>
  <c r="E89" i="73"/>
  <c r="F88" i="73"/>
  <c r="E88" i="73"/>
  <c r="F87" i="73"/>
  <c r="E87" i="73"/>
  <c r="F86" i="73"/>
  <c r="E86" i="73"/>
  <c r="F85" i="73"/>
  <c r="E85" i="73"/>
  <c r="F84" i="73"/>
  <c r="E84" i="73"/>
  <c r="F83" i="73"/>
  <c r="E83" i="73"/>
  <c r="F82" i="73"/>
  <c r="E82" i="73"/>
  <c r="F81" i="73"/>
  <c r="E81" i="73"/>
  <c r="F80" i="73"/>
  <c r="E80" i="73"/>
  <c r="F79" i="73"/>
  <c r="E79" i="73"/>
  <c r="F78" i="73"/>
  <c r="E78" i="73"/>
  <c r="F77" i="73"/>
  <c r="E77" i="73"/>
  <c r="F76" i="73"/>
  <c r="E76" i="73"/>
  <c r="F75" i="73"/>
  <c r="E75" i="73"/>
  <c r="F74" i="73"/>
  <c r="E74" i="73"/>
  <c r="F73" i="73"/>
  <c r="E73" i="73"/>
  <c r="F72" i="73"/>
  <c r="E72" i="73"/>
  <c r="F71" i="73"/>
  <c r="E71" i="73"/>
  <c r="F70" i="73"/>
  <c r="E70" i="73"/>
  <c r="F69" i="73"/>
  <c r="E69" i="73"/>
  <c r="F68" i="73"/>
  <c r="E68" i="73"/>
  <c r="F67" i="73"/>
  <c r="E67" i="73"/>
  <c r="F66" i="73"/>
  <c r="E66" i="73"/>
  <c r="F65" i="73"/>
  <c r="E65" i="73"/>
  <c r="F64" i="73"/>
  <c r="E64" i="73"/>
  <c r="F63" i="73"/>
  <c r="E63" i="73"/>
  <c r="F62" i="73"/>
  <c r="E62" i="73"/>
  <c r="F61" i="73"/>
  <c r="E61" i="73"/>
  <c r="F60" i="73"/>
  <c r="E60" i="73"/>
  <c r="F59" i="73"/>
  <c r="E59" i="73"/>
  <c r="F58" i="73"/>
  <c r="E58" i="73"/>
  <c r="F57" i="73"/>
  <c r="E57" i="73"/>
  <c r="F56" i="73"/>
  <c r="E56" i="73"/>
  <c r="F55" i="73"/>
  <c r="E55" i="73"/>
  <c r="F54" i="73"/>
  <c r="E54" i="73"/>
  <c r="F53" i="73"/>
  <c r="E53" i="73"/>
  <c r="F52" i="73"/>
  <c r="E52" i="73"/>
  <c r="F51" i="73"/>
  <c r="E51" i="73"/>
  <c r="F50" i="73"/>
  <c r="E50" i="73"/>
  <c r="F49" i="73"/>
  <c r="E49" i="73"/>
  <c r="E48" i="73"/>
  <c r="E47" i="73"/>
  <c r="E46" i="73"/>
  <c r="E45" i="73"/>
  <c r="F45" i="73" s="1"/>
  <c r="E44" i="73"/>
  <c r="E43" i="73"/>
  <c r="E42" i="73"/>
  <c r="E41" i="73"/>
  <c r="F41" i="73" s="1"/>
  <c r="E40" i="73"/>
  <c r="E39" i="73"/>
  <c r="E38" i="73"/>
  <c r="E37" i="73"/>
  <c r="E36" i="73"/>
  <c r="E35" i="73"/>
  <c r="E34" i="73"/>
  <c r="F34" i="73" s="1"/>
  <c r="E33" i="73"/>
  <c r="E32" i="73"/>
  <c r="E31" i="73"/>
  <c r="F31" i="73" s="1"/>
  <c r="E30" i="73"/>
  <c r="E29" i="73"/>
  <c r="E28" i="73"/>
  <c r="E27" i="73"/>
  <c r="F27" i="73" s="1"/>
  <c r="E26" i="73"/>
  <c r="F26" i="73" s="1"/>
  <c r="E25" i="73"/>
  <c r="E24" i="73"/>
  <c r="E23" i="73"/>
  <c r="F23" i="73" s="1"/>
  <c r="E22" i="73"/>
  <c r="E21" i="73"/>
  <c r="E20" i="73"/>
  <c r="E19" i="73"/>
  <c r="F19" i="73" s="1"/>
  <c r="E18" i="73"/>
  <c r="F18" i="73" s="1"/>
  <c r="E17" i="73"/>
  <c r="F17" i="73" s="1"/>
  <c r="E16" i="73"/>
  <c r="E15" i="73"/>
  <c r="F15" i="73" s="1"/>
  <c r="E14" i="73"/>
  <c r="E13" i="73"/>
  <c r="F13" i="73" s="1"/>
  <c r="E12" i="73"/>
  <c r="E11" i="73"/>
  <c r="F11" i="73" s="1"/>
  <c r="E10" i="73"/>
  <c r="F10" i="73" s="1"/>
  <c r="E9" i="73"/>
  <c r="F9" i="73" s="1"/>
  <c r="E8" i="73"/>
  <c r="E4" i="73"/>
  <c r="F4" i="73" s="1"/>
  <c r="E3" i="73"/>
  <c r="F48" i="73" s="1"/>
  <c r="F35" i="73" l="1"/>
  <c r="F12" i="73"/>
  <c r="F20" i="73"/>
  <c r="F28" i="73"/>
  <c r="F36" i="73"/>
  <c r="F21" i="73"/>
  <c r="F29" i="73"/>
  <c r="F37" i="73"/>
  <c r="F42" i="73"/>
  <c r="F46" i="73"/>
  <c r="F14" i="73"/>
  <c r="F22" i="73"/>
  <c r="F30" i="73"/>
  <c r="F38" i="73"/>
  <c r="F39" i="73"/>
  <c r="F43" i="73"/>
  <c r="F47" i="73"/>
  <c r="F8" i="73"/>
  <c r="F16" i="73"/>
  <c r="F24" i="73"/>
  <c r="F32" i="73"/>
  <c r="F25" i="73"/>
  <c r="F33" i="73"/>
  <c r="F40" i="73"/>
  <c r="F44" i="73"/>
  <c r="F248" i="72"/>
  <c r="E248" i="72"/>
  <c r="F247" i="72"/>
  <c r="E247" i="72"/>
  <c r="F246" i="72"/>
  <c r="E246" i="72"/>
  <c r="F245" i="72"/>
  <c r="E245" i="72"/>
  <c r="F244" i="72"/>
  <c r="E244" i="72"/>
  <c r="F243" i="72"/>
  <c r="E243" i="72"/>
  <c r="F242" i="72"/>
  <c r="E242" i="72"/>
  <c r="F241" i="72"/>
  <c r="E241" i="72"/>
  <c r="F240" i="72"/>
  <c r="E240" i="72"/>
  <c r="F239" i="72"/>
  <c r="E239" i="72"/>
  <c r="F238" i="72"/>
  <c r="E238" i="72"/>
  <c r="F237" i="72"/>
  <c r="E237" i="72"/>
  <c r="F236" i="72"/>
  <c r="E236" i="72"/>
  <c r="F235" i="72"/>
  <c r="E235" i="72"/>
  <c r="F234" i="72"/>
  <c r="E234" i="72"/>
  <c r="F233" i="72"/>
  <c r="E233" i="72"/>
  <c r="F232" i="72"/>
  <c r="E232" i="72"/>
  <c r="F231" i="72"/>
  <c r="E231" i="72"/>
  <c r="F230" i="72"/>
  <c r="E230" i="72"/>
  <c r="F229" i="72"/>
  <c r="E229" i="72"/>
  <c r="F228" i="72"/>
  <c r="E228" i="72"/>
  <c r="F227" i="72"/>
  <c r="E227" i="72"/>
  <c r="F226" i="72"/>
  <c r="E226" i="72"/>
  <c r="F225" i="72"/>
  <c r="E225" i="72"/>
  <c r="F224" i="72"/>
  <c r="E224" i="72"/>
  <c r="F223" i="72"/>
  <c r="E223" i="72"/>
  <c r="F222" i="72"/>
  <c r="E222" i="72"/>
  <c r="F221" i="72"/>
  <c r="E221" i="72"/>
  <c r="F220" i="72"/>
  <c r="E220" i="72"/>
  <c r="F219" i="72"/>
  <c r="E219" i="72"/>
  <c r="F218" i="72"/>
  <c r="E218" i="72"/>
  <c r="F217" i="72"/>
  <c r="E217" i="72"/>
  <c r="F216" i="72"/>
  <c r="E216" i="72"/>
  <c r="F215" i="72"/>
  <c r="E215" i="72"/>
  <c r="F214" i="72"/>
  <c r="E214" i="72"/>
  <c r="F213" i="72"/>
  <c r="E213" i="72"/>
  <c r="F212" i="72"/>
  <c r="E212" i="72"/>
  <c r="F211" i="72"/>
  <c r="E211" i="72"/>
  <c r="F210" i="72"/>
  <c r="E210" i="72"/>
  <c r="F209" i="72"/>
  <c r="E209" i="72"/>
  <c r="F208" i="72"/>
  <c r="E208" i="72"/>
  <c r="F207" i="72"/>
  <c r="E207" i="72"/>
  <c r="F206" i="72"/>
  <c r="E206" i="72"/>
  <c r="F205" i="72"/>
  <c r="E205" i="72"/>
  <c r="F204" i="72"/>
  <c r="E204" i="72"/>
  <c r="F203" i="72"/>
  <c r="E203" i="72"/>
  <c r="F202" i="72"/>
  <c r="E202" i="72"/>
  <c r="F201" i="72"/>
  <c r="E201" i="72"/>
  <c r="F200" i="72"/>
  <c r="E200" i="72"/>
  <c r="F199" i="72"/>
  <c r="E199" i="72"/>
  <c r="F198" i="72"/>
  <c r="E198" i="72"/>
  <c r="F197" i="72"/>
  <c r="E197" i="72"/>
  <c r="F196" i="72"/>
  <c r="E196" i="72"/>
  <c r="F195" i="72"/>
  <c r="E195" i="72"/>
  <c r="F194" i="72"/>
  <c r="E194" i="72"/>
  <c r="F193" i="72"/>
  <c r="E193" i="72"/>
  <c r="F192" i="72"/>
  <c r="E192" i="72"/>
  <c r="F191" i="72"/>
  <c r="E191" i="72"/>
  <c r="F190" i="72"/>
  <c r="E190" i="72"/>
  <c r="F189" i="72"/>
  <c r="E189" i="72"/>
  <c r="F188" i="72"/>
  <c r="E188" i="72"/>
  <c r="F187" i="72"/>
  <c r="E187" i="72"/>
  <c r="F186" i="72"/>
  <c r="E186" i="72"/>
  <c r="F185" i="72"/>
  <c r="E185" i="72"/>
  <c r="F184" i="72"/>
  <c r="E184" i="72"/>
  <c r="F183" i="72"/>
  <c r="E183" i="72"/>
  <c r="F182" i="72"/>
  <c r="E182" i="72"/>
  <c r="F181" i="72"/>
  <c r="E181" i="72"/>
  <c r="F180" i="72"/>
  <c r="E180" i="72"/>
  <c r="F179" i="72"/>
  <c r="E179" i="72"/>
  <c r="F178" i="72"/>
  <c r="E178" i="72"/>
  <c r="F177" i="72"/>
  <c r="E177" i="72"/>
  <c r="F176" i="72"/>
  <c r="E176" i="72"/>
  <c r="F175" i="72"/>
  <c r="E175" i="72"/>
  <c r="F174" i="72"/>
  <c r="E174" i="72"/>
  <c r="F173" i="72"/>
  <c r="E173" i="72"/>
  <c r="F172" i="72"/>
  <c r="E172" i="72"/>
  <c r="F171" i="72"/>
  <c r="E171" i="72"/>
  <c r="F170" i="72"/>
  <c r="E170" i="72"/>
  <c r="F169" i="72"/>
  <c r="E169" i="72"/>
  <c r="F168" i="72"/>
  <c r="E168" i="72"/>
  <c r="F167" i="72"/>
  <c r="E167" i="72"/>
  <c r="F166" i="72"/>
  <c r="E166" i="72"/>
  <c r="F165" i="72"/>
  <c r="E165" i="72"/>
  <c r="F164" i="72"/>
  <c r="E164" i="72"/>
  <c r="F163" i="72"/>
  <c r="E163" i="72"/>
  <c r="F162" i="72"/>
  <c r="E162" i="72"/>
  <c r="F161" i="72"/>
  <c r="E161" i="72"/>
  <c r="F160" i="72"/>
  <c r="E160" i="72"/>
  <c r="F159" i="72"/>
  <c r="E159" i="72"/>
  <c r="F158" i="72"/>
  <c r="E158" i="72"/>
  <c r="F157" i="72"/>
  <c r="E157" i="72"/>
  <c r="F156" i="72"/>
  <c r="E156" i="72"/>
  <c r="F155" i="72"/>
  <c r="E155" i="72"/>
  <c r="F154" i="72"/>
  <c r="E154" i="72"/>
  <c r="F153" i="72"/>
  <c r="E153" i="72"/>
  <c r="F152" i="72"/>
  <c r="E152" i="72"/>
  <c r="F151" i="72"/>
  <c r="E151" i="72"/>
  <c r="F150" i="72"/>
  <c r="E150" i="72"/>
  <c r="F149" i="72"/>
  <c r="E149" i="72"/>
  <c r="F148" i="72"/>
  <c r="E148" i="72"/>
  <c r="F147" i="72"/>
  <c r="E147" i="72"/>
  <c r="F146" i="72"/>
  <c r="E146" i="72"/>
  <c r="F145" i="72"/>
  <c r="E145" i="72"/>
  <c r="F144" i="72"/>
  <c r="E144" i="72"/>
  <c r="F143" i="72"/>
  <c r="E143" i="72"/>
  <c r="F142" i="72"/>
  <c r="E142" i="72"/>
  <c r="F141" i="72"/>
  <c r="E141" i="72"/>
  <c r="F140" i="72"/>
  <c r="E140" i="72"/>
  <c r="F139" i="72"/>
  <c r="E139" i="72"/>
  <c r="F138" i="72"/>
  <c r="E138" i="72"/>
  <c r="F137" i="72"/>
  <c r="E137" i="72"/>
  <c r="F136" i="72"/>
  <c r="E136" i="72"/>
  <c r="F135" i="72"/>
  <c r="E135" i="72"/>
  <c r="F134" i="72"/>
  <c r="E134" i="72"/>
  <c r="F133" i="72"/>
  <c r="E133" i="72"/>
  <c r="F132" i="72"/>
  <c r="E132" i="72"/>
  <c r="F131" i="72"/>
  <c r="E131" i="72"/>
  <c r="F130" i="72"/>
  <c r="E130" i="72"/>
  <c r="F129" i="72"/>
  <c r="E129" i="72"/>
  <c r="F128" i="72"/>
  <c r="E128" i="72"/>
  <c r="F127" i="72"/>
  <c r="E127" i="72"/>
  <c r="F126" i="72"/>
  <c r="E126" i="72"/>
  <c r="F125" i="72"/>
  <c r="E125" i="72"/>
  <c r="F124" i="72"/>
  <c r="E124" i="72"/>
  <c r="F123" i="72"/>
  <c r="E123" i="72"/>
  <c r="F122" i="72"/>
  <c r="E122" i="72"/>
  <c r="F121" i="72"/>
  <c r="E121" i="72"/>
  <c r="F120" i="72"/>
  <c r="E120" i="72"/>
  <c r="F119" i="72"/>
  <c r="E119" i="72"/>
  <c r="F118" i="72"/>
  <c r="E118" i="72"/>
  <c r="F117" i="72"/>
  <c r="E117" i="72"/>
  <c r="F116" i="72"/>
  <c r="E116" i="72"/>
  <c r="F115" i="72"/>
  <c r="E115" i="72"/>
  <c r="F114" i="72"/>
  <c r="E114" i="72"/>
  <c r="F113" i="72"/>
  <c r="E113" i="72"/>
  <c r="F112" i="72"/>
  <c r="E112" i="72"/>
  <c r="F111" i="72"/>
  <c r="E111" i="72"/>
  <c r="F110" i="72"/>
  <c r="E110" i="72"/>
  <c r="F109" i="72"/>
  <c r="E109" i="72"/>
  <c r="F108" i="72"/>
  <c r="E108" i="72"/>
  <c r="F107" i="72"/>
  <c r="E107" i="72"/>
  <c r="F106" i="72"/>
  <c r="E106" i="72"/>
  <c r="F105" i="72"/>
  <c r="E105" i="72"/>
  <c r="F104" i="72"/>
  <c r="E104" i="72"/>
  <c r="F103" i="72"/>
  <c r="E103" i="72"/>
  <c r="F102" i="72"/>
  <c r="E102" i="72"/>
  <c r="F101" i="72"/>
  <c r="E101" i="72"/>
  <c r="F100" i="72"/>
  <c r="E100" i="72"/>
  <c r="F99" i="72"/>
  <c r="E99" i="72"/>
  <c r="F98" i="72"/>
  <c r="E98" i="72"/>
  <c r="F97" i="72"/>
  <c r="E97" i="72"/>
  <c r="F96" i="72"/>
  <c r="E96" i="72"/>
  <c r="F95" i="72"/>
  <c r="E95" i="72"/>
  <c r="F94" i="72"/>
  <c r="E94" i="72"/>
  <c r="F93" i="72"/>
  <c r="E93" i="72"/>
  <c r="F92" i="72"/>
  <c r="E92" i="72"/>
  <c r="F91" i="72"/>
  <c r="E91" i="72"/>
  <c r="F90" i="72"/>
  <c r="E90" i="72"/>
  <c r="F89" i="72"/>
  <c r="E89" i="72"/>
  <c r="F88" i="72"/>
  <c r="E88" i="72"/>
  <c r="F87" i="72"/>
  <c r="E87" i="72"/>
  <c r="F86" i="72"/>
  <c r="E86" i="72"/>
  <c r="F85" i="72"/>
  <c r="E85" i="72"/>
  <c r="F84" i="72"/>
  <c r="E84" i="72"/>
  <c r="F83" i="72"/>
  <c r="E83" i="72"/>
  <c r="F82" i="72"/>
  <c r="E82" i="72"/>
  <c r="F81" i="72"/>
  <c r="E81" i="72"/>
  <c r="F80" i="72"/>
  <c r="E80" i="72"/>
  <c r="F79" i="72"/>
  <c r="E79" i="72"/>
  <c r="F78" i="72"/>
  <c r="E78" i="72"/>
  <c r="F77" i="72"/>
  <c r="E77" i="72"/>
  <c r="F76" i="72"/>
  <c r="E76" i="72"/>
  <c r="F75" i="72"/>
  <c r="E75" i="72"/>
  <c r="F74" i="72"/>
  <c r="E74" i="72"/>
  <c r="F73" i="72"/>
  <c r="E73" i="72"/>
  <c r="F72" i="72"/>
  <c r="E72" i="72"/>
  <c r="F71" i="72"/>
  <c r="E71" i="72"/>
  <c r="F70" i="72"/>
  <c r="E70" i="72"/>
  <c r="F69" i="72"/>
  <c r="E69" i="72"/>
  <c r="F68" i="72"/>
  <c r="E68" i="72"/>
  <c r="F67" i="72"/>
  <c r="E67" i="72"/>
  <c r="F66" i="72"/>
  <c r="E66" i="72"/>
  <c r="F65" i="72"/>
  <c r="E65" i="72"/>
  <c r="F64" i="72"/>
  <c r="E64" i="72"/>
  <c r="F63" i="72"/>
  <c r="E63" i="72"/>
  <c r="F62" i="72"/>
  <c r="E62" i="72"/>
  <c r="F61" i="72"/>
  <c r="E61" i="72"/>
  <c r="F60" i="72"/>
  <c r="E60" i="72"/>
  <c r="F59" i="72"/>
  <c r="E59" i="72"/>
  <c r="E58" i="72"/>
  <c r="E57" i="72"/>
  <c r="F57" i="72" s="1"/>
  <c r="E56" i="72"/>
  <c r="E55" i="72"/>
  <c r="E54" i="72"/>
  <c r="E53" i="72"/>
  <c r="F53" i="72" s="1"/>
  <c r="E52" i="72"/>
  <c r="E51" i="72"/>
  <c r="E50" i="72"/>
  <c r="E49" i="72"/>
  <c r="F49" i="72" s="1"/>
  <c r="E48" i="72"/>
  <c r="E47" i="72"/>
  <c r="E46" i="72"/>
  <c r="E45" i="72"/>
  <c r="F45" i="72" s="1"/>
  <c r="E44" i="72"/>
  <c r="E43" i="72"/>
  <c r="E42" i="72"/>
  <c r="E41" i="72"/>
  <c r="F41" i="72" s="1"/>
  <c r="E40" i="72"/>
  <c r="E39" i="72"/>
  <c r="E38" i="72"/>
  <c r="E37" i="72"/>
  <c r="F37" i="72" s="1"/>
  <c r="E36" i="72"/>
  <c r="E35" i="72"/>
  <c r="E34" i="72"/>
  <c r="E33" i="72"/>
  <c r="F33" i="72" s="1"/>
  <c r="E32" i="72"/>
  <c r="E31" i="72"/>
  <c r="E30" i="72"/>
  <c r="E29" i="72"/>
  <c r="F29" i="72" s="1"/>
  <c r="E28" i="72"/>
  <c r="E27" i="72"/>
  <c r="E26" i="72"/>
  <c r="E25" i="72"/>
  <c r="F25" i="72" s="1"/>
  <c r="E24" i="72"/>
  <c r="E23" i="72"/>
  <c r="F23" i="72" s="1"/>
  <c r="E22" i="72"/>
  <c r="F22" i="72" s="1"/>
  <c r="E21" i="72"/>
  <c r="F21" i="72" s="1"/>
  <c r="E20" i="72"/>
  <c r="F20" i="72" s="1"/>
  <c r="E19" i="72"/>
  <c r="F19" i="72" s="1"/>
  <c r="E18" i="72"/>
  <c r="F18" i="72" s="1"/>
  <c r="E17" i="72"/>
  <c r="F17" i="72" s="1"/>
  <c r="E16" i="72"/>
  <c r="F16" i="72" s="1"/>
  <c r="E15" i="72"/>
  <c r="F15" i="72" s="1"/>
  <c r="E14" i="72"/>
  <c r="F14" i="72" s="1"/>
  <c r="E13" i="72"/>
  <c r="F13" i="72" s="1"/>
  <c r="E12" i="72"/>
  <c r="F12" i="72" s="1"/>
  <c r="E11" i="72"/>
  <c r="F11" i="72" s="1"/>
  <c r="E10" i="72"/>
  <c r="F10" i="72" s="1"/>
  <c r="E9" i="72"/>
  <c r="F9" i="72" s="1"/>
  <c r="E8" i="72"/>
  <c r="F8" i="72" s="1"/>
  <c r="E4" i="72"/>
  <c r="E3" i="72"/>
  <c r="F56" i="72" s="1"/>
  <c r="F248" i="71"/>
  <c r="E248" i="71"/>
  <c r="F247" i="71"/>
  <c r="E247" i="71"/>
  <c r="F246" i="71"/>
  <c r="E246" i="71"/>
  <c r="F245" i="71"/>
  <c r="E245" i="71"/>
  <c r="F244" i="71"/>
  <c r="E244" i="71"/>
  <c r="F243" i="71"/>
  <c r="E243" i="71"/>
  <c r="F242" i="71"/>
  <c r="E242" i="71"/>
  <c r="F241" i="71"/>
  <c r="E241" i="71"/>
  <c r="F240" i="71"/>
  <c r="E240" i="71"/>
  <c r="F239" i="71"/>
  <c r="E239" i="71"/>
  <c r="F238" i="71"/>
  <c r="E238" i="71"/>
  <c r="F237" i="71"/>
  <c r="E237" i="71"/>
  <c r="F236" i="71"/>
  <c r="E236" i="71"/>
  <c r="F235" i="71"/>
  <c r="E235" i="71"/>
  <c r="F234" i="71"/>
  <c r="E234" i="71"/>
  <c r="F233" i="71"/>
  <c r="E233" i="71"/>
  <c r="F232" i="71"/>
  <c r="E232" i="71"/>
  <c r="F231" i="71"/>
  <c r="E231" i="71"/>
  <c r="F230" i="71"/>
  <c r="E230" i="71"/>
  <c r="F229" i="71"/>
  <c r="E229" i="71"/>
  <c r="F228" i="71"/>
  <c r="E228" i="71"/>
  <c r="F227" i="71"/>
  <c r="E227" i="71"/>
  <c r="F226" i="71"/>
  <c r="E226" i="71"/>
  <c r="F225" i="71"/>
  <c r="E225" i="71"/>
  <c r="F224" i="71"/>
  <c r="E224" i="71"/>
  <c r="F223" i="71"/>
  <c r="E223" i="71"/>
  <c r="F222" i="71"/>
  <c r="E222" i="71"/>
  <c r="F221" i="71"/>
  <c r="E221" i="71"/>
  <c r="F220" i="71"/>
  <c r="E220" i="71"/>
  <c r="F219" i="71"/>
  <c r="E219" i="71"/>
  <c r="F218" i="71"/>
  <c r="E218" i="71"/>
  <c r="F217" i="71"/>
  <c r="E217" i="71"/>
  <c r="F216" i="71"/>
  <c r="E216" i="71"/>
  <c r="F215" i="71"/>
  <c r="E215" i="71"/>
  <c r="F214" i="71"/>
  <c r="E214" i="71"/>
  <c r="F213" i="71"/>
  <c r="E213" i="71"/>
  <c r="F212" i="71"/>
  <c r="E212" i="71"/>
  <c r="F211" i="71"/>
  <c r="E211" i="71"/>
  <c r="F210" i="71"/>
  <c r="E210" i="71"/>
  <c r="F209" i="71"/>
  <c r="E209" i="71"/>
  <c r="F208" i="71"/>
  <c r="E208" i="71"/>
  <c r="F207" i="71"/>
  <c r="E207" i="71"/>
  <c r="F206" i="71"/>
  <c r="E206" i="71"/>
  <c r="F205" i="71"/>
  <c r="E205" i="71"/>
  <c r="F204" i="71"/>
  <c r="E204" i="71"/>
  <c r="F203" i="71"/>
  <c r="E203" i="71"/>
  <c r="F202" i="71"/>
  <c r="E202" i="71"/>
  <c r="F201" i="71"/>
  <c r="E201" i="71"/>
  <c r="F200" i="71"/>
  <c r="E200" i="71"/>
  <c r="F199" i="71"/>
  <c r="E199" i="71"/>
  <c r="F198" i="71"/>
  <c r="E198" i="71"/>
  <c r="F197" i="71"/>
  <c r="E197" i="71"/>
  <c r="F196" i="71"/>
  <c r="E196" i="71"/>
  <c r="F195" i="71"/>
  <c r="E195" i="71"/>
  <c r="F194" i="71"/>
  <c r="E194" i="71"/>
  <c r="F193" i="71"/>
  <c r="E193" i="71"/>
  <c r="F192" i="71"/>
  <c r="E192" i="71"/>
  <c r="F191" i="71"/>
  <c r="E191" i="71"/>
  <c r="F190" i="71"/>
  <c r="E190" i="71"/>
  <c r="F189" i="71"/>
  <c r="E189" i="71"/>
  <c r="F188" i="71"/>
  <c r="E188" i="71"/>
  <c r="F187" i="71"/>
  <c r="E187" i="71"/>
  <c r="F186" i="71"/>
  <c r="E186" i="71"/>
  <c r="F185" i="71"/>
  <c r="E185" i="71"/>
  <c r="F184" i="71"/>
  <c r="E184" i="71"/>
  <c r="F183" i="71"/>
  <c r="E183" i="71"/>
  <c r="F182" i="71"/>
  <c r="E182" i="71"/>
  <c r="F181" i="71"/>
  <c r="E181" i="71"/>
  <c r="F180" i="71"/>
  <c r="E180" i="71"/>
  <c r="F179" i="71"/>
  <c r="E179" i="71"/>
  <c r="F178" i="71"/>
  <c r="E178" i="71"/>
  <c r="F177" i="71"/>
  <c r="E177" i="71"/>
  <c r="F176" i="71"/>
  <c r="E176" i="71"/>
  <c r="F175" i="71"/>
  <c r="E175" i="71"/>
  <c r="F174" i="71"/>
  <c r="E174" i="71"/>
  <c r="F173" i="71"/>
  <c r="E173" i="71"/>
  <c r="F172" i="71"/>
  <c r="E172" i="71"/>
  <c r="F171" i="71"/>
  <c r="E171" i="71"/>
  <c r="F170" i="71"/>
  <c r="E170" i="71"/>
  <c r="F169" i="71"/>
  <c r="E169" i="71"/>
  <c r="F168" i="71"/>
  <c r="E168" i="71"/>
  <c r="F167" i="71"/>
  <c r="E167" i="71"/>
  <c r="F166" i="71"/>
  <c r="E166" i="71"/>
  <c r="F165" i="71"/>
  <c r="E165" i="71"/>
  <c r="F164" i="71"/>
  <c r="E164" i="71"/>
  <c r="F163" i="71"/>
  <c r="E163" i="71"/>
  <c r="F162" i="71"/>
  <c r="E162" i="71"/>
  <c r="F161" i="71"/>
  <c r="E161" i="71"/>
  <c r="F160" i="71"/>
  <c r="E160" i="71"/>
  <c r="F159" i="71"/>
  <c r="E159" i="71"/>
  <c r="F158" i="71"/>
  <c r="E158" i="71"/>
  <c r="F157" i="71"/>
  <c r="E157" i="71"/>
  <c r="F156" i="71"/>
  <c r="E156" i="71"/>
  <c r="F155" i="71"/>
  <c r="E155" i="71"/>
  <c r="F154" i="71"/>
  <c r="E154" i="71"/>
  <c r="F153" i="71"/>
  <c r="E153" i="71"/>
  <c r="F152" i="71"/>
  <c r="E152" i="71"/>
  <c r="F151" i="71"/>
  <c r="E151" i="71"/>
  <c r="F150" i="71"/>
  <c r="E150" i="71"/>
  <c r="F149" i="71"/>
  <c r="E149" i="71"/>
  <c r="F148" i="71"/>
  <c r="E148" i="71"/>
  <c r="F147" i="71"/>
  <c r="E147" i="71"/>
  <c r="F146" i="71"/>
  <c r="E146" i="71"/>
  <c r="F145" i="71"/>
  <c r="E145" i="71"/>
  <c r="F144" i="71"/>
  <c r="E144" i="71"/>
  <c r="F143" i="71"/>
  <c r="E143" i="71"/>
  <c r="F142" i="71"/>
  <c r="E142" i="71"/>
  <c r="F141" i="71"/>
  <c r="E141" i="71"/>
  <c r="F140" i="71"/>
  <c r="E140" i="71"/>
  <c r="F139" i="71"/>
  <c r="E139" i="71"/>
  <c r="F138" i="71"/>
  <c r="E138" i="71"/>
  <c r="F137" i="71"/>
  <c r="E137" i="71"/>
  <c r="F136" i="71"/>
  <c r="E136" i="71"/>
  <c r="F135" i="71"/>
  <c r="E135" i="71"/>
  <c r="F134" i="71"/>
  <c r="E134" i="71"/>
  <c r="F133" i="71"/>
  <c r="E133" i="71"/>
  <c r="F132" i="71"/>
  <c r="E132" i="71"/>
  <c r="F131" i="71"/>
  <c r="E131" i="71"/>
  <c r="F130" i="71"/>
  <c r="E130" i="71"/>
  <c r="F129" i="71"/>
  <c r="E129" i="71"/>
  <c r="F128" i="71"/>
  <c r="E128" i="71"/>
  <c r="F127" i="71"/>
  <c r="E127" i="71"/>
  <c r="F126" i="71"/>
  <c r="E126" i="71"/>
  <c r="F125" i="71"/>
  <c r="E125" i="71"/>
  <c r="F124" i="71"/>
  <c r="E124" i="71"/>
  <c r="F123" i="71"/>
  <c r="E123" i="71"/>
  <c r="F122" i="71"/>
  <c r="E122" i="71"/>
  <c r="F121" i="71"/>
  <c r="E121" i="71"/>
  <c r="F120" i="71"/>
  <c r="E120" i="71"/>
  <c r="F119" i="71"/>
  <c r="E119" i="71"/>
  <c r="F118" i="71"/>
  <c r="E118" i="71"/>
  <c r="F117" i="71"/>
  <c r="E117" i="71"/>
  <c r="F116" i="71"/>
  <c r="E116" i="71"/>
  <c r="F115" i="71"/>
  <c r="E115" i="71"/>
  <c r="F114" i="71"/>
  <c r="E114" i="71"/>
  <c r="F113" i="71"/>
  <c r="E113" i="71"/>
  <c r="F112" i="71"/>
  <c r="E112" i="71"/>
  <c r="F111" i="71"/>
  <c r="E111" i="71"/>
  <c r="F110" i="71"/>
  <c r="E110" i="71"/>
  <c r="F109" i="71"/>
  <c r="E109" i="71"/>
  <c r="F108" i="71"/>
  <c r="E108" i="71"/>
  <c r="F107" i="71"/>
  <c r="E107" i="71"/>
  <c r="F106" i="71"/>
  <c r="E106" i="71"/>
  <c r="F105" i="71"/>
  <c r="E105" i="71"/>
  <c r="F104" i="71"/>
  <c r="E104" i="71"/>
  <c r="F103" i="71"/>
  <c r="E103" i="71"/>
  <c r="F102" i="71"/>
  <c r="E102" i="71"/>
  <c r="F101" i="71"/>
  <c r="E101" i="71"/>
  <c r="F100" i="71"/>
  <c r="E100" i="71"/>
  <c r="F99" i="71"/>
  <c r="E99" i="71"/>
  <c r="F98" i="71"/>
  <c r="E98" i="71"/>
  <c r="F97" i="71"/>
  <c r="E97" i="71"/>
  <c r="F96" i="71"/>
  <c r="E96" i="71"/>
  <c r="F95" i="71"/>
  <c r="E95" i="71"/>
  <c r="F94" i="71"/>
  <c r="E94" i="71"/>
  <c r="F93" i="71"/>
  <c r="E93" i="71"/>
  <c r="F92" i="71"/>
  <c r="E92" i="71"/>
  <c r="F91" i="71"/>
  <c r="E91" i="71"/>
  <c r="F90" i="71"/>
  <c r="E90" i="71"/>
  <c r="F89" i="71"/>
  <c r="E89" i="71"/>
  <c r="F88" i="71"/>
  <c r="E88" i="71"/>
  <c r="F87" i="71"/>
  <c r="E87" i="71"/>
  <c r="F86" i="71"/>
  <c r="E86" i="71"/>
  <c r="F85" i="71"/>
  <c r="E85" i="71"/>
  <c r="F84" i="71"/>
  <c r="E84" i="71"/>
  <c r="F83" i="71"/>
  <c r="E83" i="71"/>
  <c r="F82" i="71"/>
  <c r="E82" i="71"/>
  <c r="F81" i="71"/>
  <c r="E81" i="71"/>
  <c r="F80" i="71"/>
  <c r="E80" i="71"/>
  <c r="F79" i="71"/>
  <c r="E79" i="71"/>
  <c r="F78" i="71"/>
  <c r="E78" i="71"/>
  <c r="F77" i="71"/>
  <c r="E77" i="71"/>
  <c r="F76" i="71"/>
  <c r="E76" i="71"/>
  <c r="F75" i="71"/>
  <c r="E75" i="71"/>
  <c r="F74" i="71"/>
  <c r="E74" i="71"/>
  <c r="F73" i="71"/>
  <c r="E73" i="71"/>
  <c r="F72" i="71"/>
  <c r="E72" i="71"/>
  <c r="F71" i="71"/>
  <c r="E71" i="71"/>
  <c r="F70" i="71"/>
  <c r="E70" i="71"/>
  <c r="F69" i="71"/>
  <c r="E69" i="71"/>
  <c r="F68" i="71"/>
  <c r="E68" i="71"/>
  <c r="F67" i="71"/>
  <c r="E67" i="71"/>
  <c r="F66" i="71"/>
  <c r="E66" i="71"/>
  <c r="F65" i="71"/>
  <c r="E65" i="71"/>
  <c r="F64" i="71"/>
  <c r="E64" i="71"/>
  <c r="F63" i="71"/>
  <c r="E63" i="71"/>
  <c r="F62" i="71"/>
  <c r="E62" i="71"/>
  <c r="F61" i="71"/>
  <c r="E61" i="71"/>
  <c r="F60" i="71"/>
  <c r="E60" i="71"/>
  <c r="F59" i="71"/>
  <c r="E59" i="71"/>
  <c r="F58" i="71"/>
  <c r="E58" i="71"/>
  <c r="F57" i="71"/>
  <c r="E57" i="71"/>
  <c r="F56" i="71"/>
  <c r="E56" i="71"/>
  <c r="F55" i="71"/>
  <c r="E55" i="71"/>
  <c r="F54" i="71"/>
  <c r="E54" i="71"/>
  <c r="F53" i="71"/>
  <c r="E53" i="71"/>
  <c r="F52" i="71"/>
  <c r="E52" i="71"/>
  <c r="F51" i="71"/>
  <c r="E51" i="71"/>
  <c r="F50" i="71"/>
  <c r="E50" i="71"/>
  <c r="F49" i="71"/>
  <c r="E49" i="71"/>
  <c r="F48" i="71"/>
  <c r="E48" i="71"/>
  <c r="F47" i="71"/>
  <c r="E47" i="71"/>
  <c r="F46" i="71"/>
  <c r="E46" i="71"/>
  <c r="F45" i="71"/>
  <c r="E45" i="71"/>
  <c r="F44" i="71"/>
  <c r="E44" i="71"/>
  <c r="F43" i="71"/>
  <c r="E43" i="71"/>
  <c r="F42" i="71"/>
  <c r="E42" i="71"/>
  <c r="E41" i="71"/>
  <c r="E40" i="71"/>
  <c r="E39" i="71"/>
  <c r="F39" i="71" s="1"/>
  <c r="E38" i="71"/>
  <c r="E37" i="71"/>
  <c r="E36" i="71"/>
  <c r="E35" i="71"/>
  <c r="F35" i="71" s="1"/>
  <c r="E34" i="71"/>
  <c r="E33" i="71"/>
  <c r="E32" i="71"/>
  <c r="E31" i="71"/>
  <c r="F31" i="71" s="1"/>
  <c r="E30" i="71"/>
  <c r="E29" i="71"/>
  <c r="E28" i="71"/>
  <c r="E27" i="71"/>
  <c r="F27" i="71" s="1"/>
  <c r="E26" i="71"/>
  <c r="E25" i="71"/>
  <c r="E24" i="71"/>
  <c r="E23" i="71"/>
  <c r="F23" i="71" s="1"/>
  <c r="E22" i="71"/>
  <c r="E21" i="71"/>
  <c r="E20" i="71"/>
  <c r="E19" i="71"/>
  <c r="F19" i="71" s="1"/>
  <c r="E18" i="71"/>
  <c r="E17" i="71"/>
  <c r="F17" i="71" s="1"/>
  <c r="E16" i="71"/>
  <c r="E15" i="71"/>
  <c r="F15" i="71" s="1"/>
  <c r="E14" i="71"/>
  <c r="E13" i="71"/>
  <c r="F13" i="71" s="1"/>
  <c r="E12" i="71"/>
  <c r="E11" i="71"/>
  <c r="F11" i="71" s="1"/>
  <c r="E10" i="71"/>
  <c r="F10" i="71" s="1"/>
  <c r="E9" i="71"/>
  <c r="F9" i="71" s="1"/>
  <c r="E8" i="71"/>
  <c r="E4" i="71"/>
  <c r="E3" i="71"/>
  <c r="F38" i="71" s="1"/>
  <c r="F248" i="70"/>
  <c r="E248" i="70"/>
  <c r="F247" i="70"/>
  <c r="E247" i="70"/>
  <c r="F246" i="70"/>
  <c r="E246" i="70"/>
  <c r="F245" i="70"/>
  <c r="E245" i="70"/>
  <c r="F244" i="70"/>
  <c r="E244" i="70"/>
  <c r="F243" i="70"/>
  <c r="E243" i="70"/>
  <c r="F242" i="70"/>
  <c r="E242" i="70"/>
  <c r="F241" i="70"/>
  <c r="E241" i="70"/>
  <c r="F240" i="70"/>
  <c r="E240" i="70"/>
  <c r="F239" i="70"/>
  <c r="E239" i="70"/>
  <c r="F238" i="70"/>
  <c r="E238" i="70"/>
  <c r="F237" i="70"/>
  <c r="E237" i="70"/>
  <c r="F236" i="70"/>
  <c r="E236" i="70"/>
  <c r="F235" i="70"/>
  <c r="E235" i="70"/>
  <c r="F234" i="70"/>
  <c r="E234" i="70"/>
  <c r="F233" i="70"/>
  <c r="E233" i="70"/>
  <c r="F232" i="70"/>
  <c r="E232" i="70"/>
  <c r="F231" i="70"/>
  <c r="E231" i="70"/>
  <c r="F230" i="70"/>
  <c r="E230" i="70"/>
  <c r="F229" i="70"/>
  <c r="E229" i="70"/>
  <c r="F228" i="70"/>
  <c r="E228" i="70"/>
  <c r="F227" i="70"/>
  <c r="E227" i="70"/>
  <c r="F226" i="70"/>
  <c r="E226" i="70"/>
  <c r="F225" i="70"/>
  <c r="E225" i="70"/>
  <c r="F224" i="70"/>
  <c r="E224" i="70"/>
  <c r="F223" i="70"/>
  <c r="E223" i="70"/>
  <c r="F222" i="70"/>
  <c r="E222" i="70"/>
  <c r="F221" i="70"/>
  <c r="E221" i="70"/>
  <c r="F220" i="70"/>
  <c r="E220" i="70"/>
  <c r="F219" i="70"/>
  <c r="E219" i="70"/>
  <c r="F218" i="70"/>
  <c r="E218" i="70"/>
  <c r="F217" i="70"/>
  <c r="E217" i="70"/>
  <c r="F216" i="70"/>
  <c r="E216" i="70"/>
  <c r="F215" i="70"/>
  <c r="E215" i="70"/>
  <c r="F214" i="70"/>
  <c r="E214" i="70"/>
  <c r="F213" i="70"/>
  <c r="E213" i="70"/>
  <c r="F212" i="70"/>
  <c r="E212" i="70"/>
  <c r="F211" i="70"/>
  <c r="E211" i="70"/>
  <c r="F210" i="70"/>
  <c r="E210" i="70"/>
  <c r="F209" i="70"/>
  <c r="E209" i="70"/>
  <c r="F208" i="70"/>
  <c r="E208" i="70"/>
  <c r="F207" i="70"/>
  <c r="E207" i="70"/>
  <c r="F206" i="70"/>
  <c r="E206" i="70"/>
  <c r="F205" i="70"/>
  <c r="E205" i="70"/>
  <c r="F204" i="70"/>
  <c r="E204" i="70"/>
  <c r="F203" i="70"/>
  <c r="E203" i="70"/>
  <c r="F202" i="70"/>
  <c r="E202" i="70"/>
  <c r="F201" i="70"/>
  <c r="E201" i="70"/>
  <c r="F200" i="70"/>
  <c r="E200" i="70"/>
  <c r="F199" i="70"/>
  <c r="E199" i="70"/>
  <c r="F198" i="70"/>
  <c r="E198" i="70"/>
  <c r="F197" i="70"/>
  <c r="E197" i="70"/>
  <c r="F196" i="70"/>
  <c r="E196" i="70"/>
  <c r="F195" i="70"/>
  <c r="E195" i="70"/>
  <c r="F194" i="70"/>
  <c r="E194" i="70"/>
  <c r="F193" i="70"/>
  <c r="E193" i="70"/>
  <c r="F192" i="70"/>
  <c r="E192" i="70"/>
  <c r="F191" i="70"/>
  <c r="E191" i="70"/>
  <c r="F190" i="70"/>
  <c r="E190" i="70"/>
  <c r="F189" i="70"/>
  <c r="E189" i="70"/>
  <c r="F188" i="70"/>
  <c r="E188" i="70"/>
  <c r="F187" i="70"/>
  <c r="E187" i="70"/>
  <c r="F186" i="70"/>
  <c r="E186" i="70"/>
  <c r="F185" i="70"/>
  <c r="E185" i="70"/>
  <c r="F184" i="70"/>
  <c r="E184" i="70"/>
  <c r="F183" i="70"/>
  <c r="E183" i="70"/>
  <c r="F182" i="70"/>
  <c r="E182" i="70"/>
  <c r="F181" i="70"/>
  <c r="E181" i="70"/>
  <c r="F180" i="70"/>
  <c r="E180" i="70"/>
  <c r="F179" i="70"/>
  <c r="E179" i="70"/>
  <c r="F178" i="70"/>
  <c r="E178" i="70"/>
  <c r="F177" i="70"/>
  <c r="E177" i="70"/>
  <c r="F176" i="70"/>
  <c r="E176" i="70"/>
  <c r="F175" i="70"/>
  <c r="E175" i="70"/>
  <c r="F174" i="70"/>
  <c r="E174" i="70"/>
  <c r="F173" i="70"/>
  <c r="E173" i="70"/>
  <c r="F172" i="70"/>
  <c r="E172" i="70"/>
  <c r="F171" i="70"/>
  <c r="E171" i="70"/>
  <c r="F170" i="70"/>
  <c r="E170" i="70"/>
  <c r="F169" i="70"/>
  <c r="E169" i="70"/>
  <c r="F168" i="70"/>
  <c r="E168" i="70"/>
  <c r="F167" i="70"/>
  <c r="E167" i="70"/>
  <c r="F166" i="70"/>
  <c r="E166" i="70"/>
  <c r="F165" i="70"/>
  <c r="E165" i="70"/>
  <c r="F164" i="70"/>
  <c r="E164" i="70"/>
  <c r="F163" i="70"/>
  <c r="E163" i="70"/>
  <c r="F162" i="70"/>
  <c r="E162" i="70"/>
  <c r="F161" i="70"/>
  <c r="E161" i="70"/>
  <c r="F160" i="70"/>
  <c r="E160" i="70"/>
  <c r="F159" i="70"/>
  <c r="E159" i="70"/>
  <c r="F158" i="70"/>
  <c r="E158" i="70"/>
  <c r="F157" i="70"/>
  <c r="E157" i="70"/>
  <c r="F156" i="70"/>
  <c r="E156" i="70"/>
  <c r="F155" i="70"/>
  <c r="E155" i="70"/>
  <c r="F154" i="70"/>
  <c r="E154" i="70"/>
  <c r="F153" i="70"/>
  <c r="E153" i="70"/>
  <c r="F152" i="70"/>
  <c r="E152" i="70"/>
  <c r="F151" i="70"/>
  <c r="E151" i="70"/>
  <c r="F150" i="70"/>
  <c r="E150" i="70"/>
  <c r="F149" i="70"/>
  <c r="E149" i="70"/>
  <c r="F148" i="70"/>
  <c r="E148" i="70"/>
  <c r="F147" i="70"/>
  <c r="E147" i="70"/>
  <c r="F146" i="70"/>
  <c r="E146" i="70"/>
  <c r="F145" i="70"/>
  <c r="E145" i="70"/>
  <c r="F144" i="70"/>
  <c r="E144" i="70"/>
  <c r="F143" i="70"/>
  <c r="E143" i="70"/>
  <c r="F142" i="70"/>
  <c r="E142" i="70"/>
  <c r="F141" i="70"/>
  <c r="E141" i="70"/>
  <c r="F140" i="70"/>
  <c r="E140" i="70"/>
  <c r="F139" i="70"/>
  <c r="E139" i="70"/>
  <c r="F138" i="70"/>
  <c r="E138" i="70"/>
  <c r="F137" i="70"/>
  <c r="E137" i="70"/>
  <c r="F136" i="70"/>
  <c r="E136" i="70"/>
  <c r="F135" i="70"/>
  <c r="E135" i="70"/>
  <c r="F134" i="70"/>
  <c r="E134" i="70"/>
  <c r="F133" i="70"/>
  <c r="E133" i="70"/>
  <c r="F132" i="70"/>
  <c r="E132" i="70"/>
  <c r="F131" i="70"/>
  <c r="E131" i="70"/>
  <c r="F130" i="70"/>
  <c r="E130" i="70"/>
  <c r="F129" i="70"/>
  <c r="E129" i="70"/>
  <c r="F128" i="70"/>
  <c r="E128" i="70"/>
  <c r="F127" i="70"/>
  <c r="E127" i="70"/>
  <c r="F126" i="70"/>
  <c r="E126" i="70"/>
  <c r="F125" i="70"/>
  <c r="E125" i="70"/>
  <c r="F124" i="70"/>
  <c r="E124" i="70"/>
  <c r="F123" i="70"/>
  <c r="E123" i="70"/>
  <c r="F122" i="70"/>
  <c r="E122" i="70"/>
  <c r="F121" i="70"/>
  <c r="E121" i="70"/>
  <c r="F120" i="70"/>
  <c r="E120" i="70"/>
  <c r="F119" i="70"/>
  <c r="E119" i="70"/>
  <c r="F118" i="70"/>
  <c r="E118" i="70"/>
  <c r="F117" i="70"/>
  <c r="E117" i="70"/>
  <c r="F116" i="70"/>
  <c r="E116" i="70"/>
  <c r="F115" i="70"/>
  <c r="E115" i="70"/>
  <c r="F114" i="70"/>
  <c r="E114" i="70"/>
  <c r="F113" i="70"/>
  <c r="E113" i="70"/>
  <c r="F112" i="70"/>
  <c r="E112" i="70"/>
  <c r="F111" i="70"/>
  <c r="E111" i="70"/>
  <c r="F110" i="70"/>
  <c r="E110" i="70"/>
  <c r="F109" i="70"/>
  <c r="E109" i="70"/>
  <c r="F108" i="70"/>
  <c r="E108" i="70"/>
  <c r="F107" i="70"/>
  <c r="E107" i="70"/>
  <c r="F106" i="70"/>
  <c r="E106" i="70"/>
  <c r="F105" i="70"/>
  <c r="E105" i="70"/>
  <c r="F104" i="70"/>
  <c r="E104" i="70"/>
  <c r="F103" i="70"/>
  <c r="E103" i="70"/>
  <c r="F102" i="70"/>
  <c r="E102" i="70"/>
  <c r="F101" i="70"/>
  <c r="E101" i="70"/>
  <c r="E100" i="70"/>
  <c r="F100" i="70" s="1"/>
  <c r="E99" i="70"/>
  <c r="F99" i="70" s="1"/>
  <c r="E98" i="70"/>
  <c r="F98" i="70" s="1"/>
  <c r="E97" i="70"/>
  <c r="F97" i="70" s="1"/>
  <c r="E96" i="70"/>
  <c r="F96" i="70" s="1"/>
  <c r="E95" i="70"/>
  <c r="F95" i="70" s="1"/>
  <c r="E94" i="70"/>
  <c r="F94" i="70" s="1"/>
  <c r="E93" i="70"/>
  <c r="F93" i="70" s="1"/>
  <c r="E92" i="70"/>
  <c r="F92" i="70" s="1"/>
  <c r="E91" i="70"/>
  <c r="F91" i="70" s="1"/>
  <c r="E90" i="70"/>
  <c r="F90" i="70" s="1"/>
  <c r="E89" i="70"/>
  <c r="F89" i="70" s="1"/>
  <c r="E88" i="70"/>
  <c r="F88" i="70" s="1"/>
  <c r="E87" i="70"/>
  <c r="F87" i="70" s="1"/>
  <c r="E86" i="70"/>
  <c r="F86" i="70" s="1"/>
  <c r="E85" i="70"/>
  <c r="F85" i="70" s="1"/>
  <c r="E84" i="70"/>
  <c r="F84" i="70" s="1"/>
  <c r="E83" i="70"/>
  <c r="F83" i="70" s="1"/>
  <c r="E82" i="70"/>
  <c r="F82" i="70" s="1"/>
  <c r="E81" i="70"/>
  <c r="F81" i="70" s="1"/>
  <c r="E80" i="70"/>
  <c r="F80" i="70" s="1"/>
  <c r="E79" i="70"/>
  <c r="F79" i="70" s="1"/>
  <c r="E78" i="70"/>
  <c r="F78" i="70" s="1"/>
  <c r="E77" i="70"/>
  <c r="F77" i="70" s="1"/>
  <c r="E76" i="70"/>
  <c r="F76" i="70" s="1"/>
  <c r="E75" i="70"/>
  <c r="F75" i="70" s="1"/>
  <c r="E74" i="70"/>
  <c r="F74" i="70" s="1"/>
  <c r="E73" i="70"/>
  <c r="F73" i="70" s="1"/>
  <c r="E72" i="70"/>
  <c r="F72" i="70" s="1"/>
  <c r="E71" i="70"/>
  <c r="F71" i="70" s="1"/>
  <c r="E70" i="70"/>
  <c r="F70" i="70" s="1"/>
  <c r="E69" i="70"/>
  <c r="F69" i="70" s="1"/>
  <c r="E68" i="70"/>
  <c r="F68" i="70" s="1"/>
  <c r="E67" i="70"/>
  <c r="F67" i="70" s="1"/>
  <c r="E66" i="70"/>
  <c r="F66" i="70" s="1"/>
  <c r="E65" i="70"/>
  <c r="F65" i="70" s="1"/>
  <c r="E64" i="70"/>
  <c r="F64" i="70" s="1"/>
  <c r="E63" i="70"/>
  <c r="F63" i="70" s="1"/>
  <c r="E62" i="70"/>
  <c r="F62" i="70" s="1"/>
  <c r="E61" i="70"/>
  <c r="F61" i="70" s="1"/>
  <c r="E60" i="70"/>
  <c r="F60" i="70" s="1"/>
  <c r="E59" i="70"/>
  <c r="F59" i="70" s="1"/>
  <c r="E58" i="70"/>
  <c r="F58" i="70" s="1"/>
  <c r="E57" i="70"/>
  <c r="F57" i="70" s="1"/>
  <c r="E56" i="70"/>
  <c r="F56" i="70" s="1"/>
  <c r="E55" i="70"/>
  <c r="F55" i="70" s="1"/>
  <c r="E54" i="70"/>
  <c r="F54" i="70" s="1"/>
  <c r="E53" i="70"/>
  <c r="F53" i="70" s="1"/>
  <c r="E52" i="70"/>
  <c r="F52" i="70" s="1"/>
  <c r="E51" i="70"/>
  <c r="F51" i="70" s="1"/>
  <c r="E50" i="70"/>
  <c r="F50" i="70" s="1"/>
  <c r="E49" i="70"/>
  <c r="F49" i="70" s="1"/>
  <c r="E48" i="70"/>
  <c r="F48" i="70" s="1"/>
  <c r="E47" i="70"/>
  <c r="F47" i="70" s="1"/>
  <c r="E46" i="70"/>
  <c r="F46" i="70" s="1"/>
  <c r="E45" i="70"/>
  <c r="F45" i="70" s="1"/>
  <c r="E44" i="70"/>
  <c r="F44" i="70" s="1"/>
  <c r="E43" i="70"/>
  <c r="F43" i="70" s="1"/>
  <c r="E42" i="70"/>
  <c r="F42" i="70" s="1"/>
  <c r="E41" i="70"/>
  <c r="F41" i="70" s="1"/>
  <c r="E40" i="70"/>
  <c r="F40" i="70" s="1"/>
  <c r="E39" i="70"/>
  <c r="F39" i="70" s="1"/>
  <c r="E38" i="70"/>
  <c r="F38" i="70" s="1"/>
  <c r="E37" i="70"/>
  <c r="F37" i="70" s="1"/>
  <c r="E36" i="70"/>
  <c r="F36" i="70" s="1"/>
  <c r="E35" i="70"/>
  <c r="F35" i="70" s="1"/>
  <c r="E34" i="70"/>
  <c r="F34" i="70" s="1"/>
  <c r="E33" i="70"/>
  <c r="F33" i="70" s="1"/>
  <c r="E32" i="70"/>
  <c r="F32" i="70" s="1"/>
  <c r="E31" i="70"/>
  <c r="F31" i="70" s="1"/>
  <c r="E30" i="70"/>
  <c r="F30" i="70" s="1"/>
  <c r="E29" i="70"/>
  <c r="F29" i="70" s="1"/>
  <c r="E28" i="70"/>
  <c r="F28" i="70" s="1"/>
  <c r="E27" i="70"/>
  <c r="F27" i="70" s="1"/>
  <c r="E26" i="70"/>
  <c r="F26" i="70" s="1"/>
  <c r="E25" i="70"/>
  <c r="F25" i="70" s="1"/>
  <c r="E24" i="70"/>
  <c r="F24" i="70" s="1"/>
  <c r="E23" i="70"/>
  <c r="F23" i="70" s="1"/>
  <c r="E22" i="70"/>
  <c r="F22" i="70" s="1"/>
  <c r="E21" i="70"/>
  <c r="F21" i="70" s="1"/>
  <c r="E20" i="70"/>
  <c r="F20" i="70" s="1"/>
  <c r="E19" i="70"/>
  <c r="F19" i="70" s="1"/>
  <c r="E18" i="70"/>
  <c r="F18" i="70" s="1"/>
  <c r="E17" i="70"/>
  <c r="F17" i="70" s="1"/>
  <c r="E16" i="70"/>
  <c r="F16" i="70" s="1"/>
  <c r="E15" i="70"/>
  <c r="F15" i="70" s="1"/>
  <c r="E14" i="70"/>
  <c r="F14" i="70" s="1"/>
  <c r="E13" i="70"/>
  <c r="F13" i="70" s="1"/>
  <c r="E12" i="70"/>
  <c r="F12" i="70" s="1"/>
  <c r="E11" i="70"/>
  <c r="F11" i="70" s="1"/>
  <c r="E10" i="70"/>
  <c r="F10" i="70" s="1"/>
  <c r="E9" i="70"/>
  <c r="F9" i="70" s="1"/>
  <c r="E8" i="70"/>
  <c r="F8" i="70" s="1"/>
  <c r="E4" i="70"/>
  <c r="E3" i="70"/>
  <c r="F248" i="69"/>
  <c r="E248" i="69"/>
  <c r="F247" i="69"/>
  <c r="E247" i="69"/>
  <c r="F246" i="69"/>
  <c r="E246" i="69"/>
  <c r="F245" i="69"/>
  <c r="E245" i="69"/>
  <c r="F244" i="69"/>
  <c r="E244" i="69"/>
  <c r="F243" i="69"/>
  <c r="E243" i="69"/>
  <c r="F242" i="69"/>
  <c r="E242" i="69"/>
  <c r="F241" i="69"/>
  <c r="E241" i="69"/>
  <c r="F240" i="69"/>
  <c r="E240" i="69"/>
  <c r="F239" i="69"/>
  <c r="E239" i="69"/>
  <c r="F238" i="69"/>
  <c r="E238" i="69"/>
  <c r="F237" i="69"/>
  <c r="E237" i="69"/>
  <c r="F236" i="69"/>
  <c r="E236" i="69"/>
  <c r="F235" i="69"/>
  <c r="E235" i="69"/>
  <c r="F234" i="69"/>
  <c r="E234" i="69"/>
  <c r="F233" i="69"/>
  <c r="E233" i="69"/>
  <c r="F232" i="69"/>
  <c r="E232" i="69"/>
  <c r="F231" i="69"/>
  <c r="E231" i="69"/>
  <c r="F230" i="69"/>
  <c r="E230" i="69"/>
  <c r="F229" i="69"/>
  <c r="E229" i="69"/>
  <c r="F228" i="69"/>
  <c r="E228" i="69"/>
  <c r="F227" i="69"/>
  <c r="E227" i="69"/>
  <c r="F226" i="69"/>
  <c r="E226" i="69"/>
  <c r="F225" i="69"/>
  <c r="E225" i="69"/>
  <c r="F224" i="69"/>
  <c r="E224" i="69"/>
  <c r="F223" i="69"/>
  <c r="E223" i="69"/>
  <c r="F222" i="69"/>
  <c r="E222" i="69"/>
  <c r="F221" i="69"/>
  <c r="E221" i="69"/>
  <c r="F220" i="69"/>
  <c r="E220" i="69"/>
  <c r="F219" i="69"/>
  <c r="E219" i="69"/>
  <c r="F218" i="69"/>
  <c r="E218" i="69"/>
  <c r="F217" i="69"/>
  <c r="E217" i="69"/>
  <c r="F216" i="69"/>
  <c r="E216" i="69"/>
  <c r="F215" i="69"/>
  <c r="E215" i="69"/>
  <c r="F214" i="69"/>
  <c r="E214" i="69"/>
  <c r="F213" i="69"/>
  <c r="E213" i="69"/>
  <c r="F212" i="69"/>
  <c r="E212" i="69"/>
  <c r="F211" i="69"/>
  <c r="E211" i="69"/>
  <c r="F210" i="69"/>
  <c r="E210" i="69"/>
  <c r="F209" i="69"/>
  <c r="E209" i="69"/>
  <c r="F208" i="69"/>
  <c r="E208" i="69"/>
  <c r="F207" i="69"/>
  <c r="E207" i="69"/>
  <c r="F206" i="69"/>
  <c r="E206" i="69"/>
  <c r="F205" i="69"/>
  <c r="E205" i="69"/>
  <c r="F204" i="69"/>
  <c r="E204" i="69"/>
  <c r="F203" i="69"/>
  <c r="E203" i="69"/>
  <c r="F202" i="69"/>
  <c r="E202" i="69"/>
  <c r="F201" i="69"/>
  <c r="E201" i="69"/>
  <c r="F200" i="69"/>
  <c r="E200" i="69"/>
  <c r="F199" i="69"/>
  <c r="E199" i="69"/>
  <c r="F198" i="69"/>
  <c r="E198" i="69"/>
  <c r="F197" i="69"/>
  <c r="E197" i="69"/>
  <c r="F196" i="69"/>
  <c r="E196" i="69"/>
  <c r="F195" i="69"/>
  <c r="E195" i="69"/>
  <c r="F194" i="69"/>
  <c r="E194" i="69"/>
  <c r="F193" i="69"/>
  <c r="E193" i="69"/>
  <c r="F192" i="69"/>
  <c r="E192" i="69"/>
  <c r="F191" i="69"/>
  <c r="E191" i="69"/>
  <c r="F190" i="69"/>
  <c r="E190" i="69"/>
  <c r="F189" i="69"/>
  <c r="E189" i="69"/>
  <c r="F188" i="69"/>
  <c r="E188" i="69"/>
  <c r="F187" i="69"/>
  <c r="E187" i="69"/>
  <c r="F186" i="69"/>
  <c r="E186" i="69"/>
  <c r="F185" i="69"/>
  <c r="E185" i="69"/>
  <c r="F184" i="69"/>
  <c r="E184" i="69"/>
  <c r="F183" i="69"/>
  <c r="E183" i="69"/>
  <c r="F182" i="69"/>
  <c r="E182" i="69"/>
  <c r="F181" i="69"/>
  <c r="E181" i="69"/>
  <c r="F180" i="69"/>
  <c r="E180" i="69"/>
  <c r="F179" i="69"/>
  <c r="E179" i="69"/>
  <c r="F178" i="69"/>
  <c r="E178" i="69"/>
  <c r="F177" i="69"/>
  <c r="E177" i="69"/>
  <c r="F176" i="69"/>
  <c r="E176" i="69"/>
  <c r="F175" i="69"/>
  <c r="E175" i="69"/>
  <c r="F174" i="69"/>
  <c r="E174" i="69"/>
  <c r="F173" i="69"/>
  <c r="E173" i="69"/>
  <c r="F172" i="69"/>
  <c r="E172" i="69"/>
  <c r="F171" i="69"/>
  <c r="E171" i="69"/>
  <c r="F170" i="69"/>
  <c r="E170" i="69"/>
  <c r="F169" i="69"/>
  <c r="E169" i="69"/>
  <c r="F168" i="69"/>
  <c r="E168" i="69"/>
  <c r="F167" i="69"/>
  <c r="E167" i="69"/>
  <c r="F166" i="69"/>
  <c r="E166" i="69"/>
  <c r="F165" i="69"/>
  <c r="E165" i="69"/>
  <c r="F164" i="69"/>
  <c r="E164" i="69"/>
  <c r="F163" i="69"/>
  <c r="E163" i="69"/>
  <c r="F162" i="69"/>
  <c r="E162" i="69"/>
  <c r="F161" i="69"/>
  <c r="E161" i="69"/>
  <c r="F160" i="69"/>
  <c r="E160" i="69"/>
  <c r="F159" i="69"/>
  <c r="E159" i="69"/>
  <c r="F158" i="69"/>
  <c r="E158" i="69"/>
  <c r="F157" i="69"/>
  <c r="E157" i="69"/>
  <c r="F156" i="69"/>
  <c r="E156" i="69"/>
  <c r="F155" i="69"/>
  <c r="E155" i="69"/>
  <c r="F154" i="69"/>
  <c r="E154" i="69"/>
  <c r="F153" i="69"/>
  <c r="E153" i="69"/>
  <c r="F152" i="69"/>
  <c r="E152" i="69"/>
  <c r="F151" i="69"/>
  <c r="E151" i="69"/>
  <c r="F150" i="69"/>
  <c r="E150" i="69"/>
  <c r="F149" i="69"/>
  <c r="E149" i="69"/>
  <c r="F148" i="69"/>
  <c r="E148" i="69"/>
  <c r="F147" i="69"/>
  <c r="E147" i="69"/>
  <c r="F146" i="69"/>
  <c r="E146" i="69"/>
  <c r="F145" i="69"/>
  <c r="E145" i="69"/>
  <c r="F144" i="69"/>
  <c r="E144" i="69"/>
  <c r="F143" i="69"/>
  <c r="E143" i="69"/>
  <c r="F142" i="69"/>
  <c r="E142" i="69"/>
  <c r="F141" i="69"/>
  <c r="E141" i="69"/>
  <c r="F140" i="69"/>
  <c r="E140" i="69"/>
  <c r="F139" i="69"/>
  <c r="E139" i="69"/>
  <c r="F138" i="69"/>
  <c r="E138" i="69"/>
  <c r="F137" i="69"/>
  <c r="E137" i="69"/>
  <c r="F136" i="69"/>
  <c r="E136" i="69"/>
  <c r="F135" i="69"/>
  <c r="E135" i="69"/>
  <c r="F134" i="69"/>
  <c r="E134" i="69"/>
  <c r="F133" i="69"/>
  <c r="E133" i="69"/>
  <c r="F132" i="69"/>
  <c r="E132" i="69"/>
  <c r="F131" i="69"/>
  <c r="E131" i="69"/>
  <c r="F130" i="69"/>
  <c r="E130" i="69"/>
  <c r="F129" i="69"/>
  <c r="E129" i="69"/>
  <c r="F128" i="69"/>
  <c r="E128" i="69"/>
  <c r="F127" i="69"/>
  <c r="E127" i="69"/>
  <c r="F126" i="69"/>
  <c r="E126" i="69"/>
  <c r="F125" i="69"/>
  <c r="E125" i="69"/>
  <c r="F124" i="69"/>
  <c r="E124" i="69"/>
  <c r="F123" i="69"/>
  <c r="E123" i="69"/>
  <c r="F122" i="69"/>
  <c r="E122" i="69"/>
  <c r="F121" i="69"/>
  <c r="E121" i="69"/>
  <c r="F120" i="69"/>
  <c r="E120" i="69"/>
  <c r="F119" i="69"/>
  <c r="E119" i="69"/>
  <c r="F118" i="69"/>
  <c r="E118" i="69"/>
  <c r="F117" i="69"/>
  <c r="E117" i="69"/>
  <c r="F116" i="69"/>
  <c r="E116" i="69"/>
  <c r="F115" i="69"/>
  <c r="E115" i="69"/>
  <c r="F114" i="69"/>
  <c r="E114" i="69"/>
  <c r="F113" i="69"/>
  <c r="E113" i="69"/>
  <c r="F112" i="69"/>
  <c r="E112" i="69"/>
  <c r="F111" i="69"/>
  <c r="E111" i="69"/>
  <c r="F110" i="69"/>
  <c r="E110" i="69"/>
  <c r="F109" i="69"/>
  <c r="E109" i="69"/>
  <c r="F108" i="69"/>
  <c r="E108" i="69"/>
  <c r="F107" i="69"/>
  <c r="E107" i="69"/>
  <c r="F106" i="69"/>
  <c r="E106" i="69"/>
  <c r="F105" i="69"/>
  <c r="E105" i="69"/>
  <c r="F104" i="69"/>
  <c r="E104" i="69"/>
  <c r="F103" i="69"/>
  <c r="E103" i="69"/>
  <c r="F102" i="69"/>
  <c r="E102" i="69"/>
  <c r="F101" i="69"/>
  <c r="E101" i="69"/>
  <c r="E100" i="69"/>
  <c r="F100" i="69" s="1"/>
  <c r="E99" i="69"/>
  <c r="F99" i="69" s="1"/>
  <c r="E98" i="69"/>
  <c r="F98" i="69" s="1"/>
  <c r="E97" i="69"/>
  <c r="F97" i="69" s="1"/>
  <c r="E96" i="69"/>
  <c r="F96" i="69" s="1"/>
  <c r="E95" i="69"/>
  <c r="F95" i="69" s="1"/>
  <c r="E94" i="69"/>
  <c r="F94" i="69" s="1"/>
  <c r="E93" i="69"/>
  <c r="F93" i="69" s="1"/>
  <c r="E92" i="69"/>
  <c r="F92" i="69" s="1"/>
  <c r="E91" i="69"/>
  <c r="F91" i="69" s="1"/>
  <c r="E90" i="69"/>
  <c r="F90" i="69" s="1"/>
  <c r="E89" i="69"/>
  <c r="F89" i="69" s="1"/>
  <c r="E88" i="69"/>
  <c r="F88" i="69" s="1"/>
  <c r="E87" i="69"/>
  <c r="F87" i="69" s="1"/>
  <c r="E86" i="69"/>
  <c r="F86" i="69" s="1"/>
  <c r="E85" i="69"/>
  <c r="F85" i="69" s="1"/>
  <c r="E84" i="69"/>
  <c r="F84" i="69" s="1"/>
  <c r="E83" i="69"/>
  <c r="F83" i="69" s="1"/>
  <c r="E82" i="69"/>
  <c r="F82" i="69" s="1"/>
  <c r="E81" i="69"/>
  <c r="F81" i="69" s="1"/>
  <c r="E80" i="69"/>
  <c r="F80" i="69" s="1"/>
  <c r="E79" i="69"/>
  <c r="F79" i="69" s="1"/>
  <c r="E78" i="69"/>
  <c r="F78" i="69" s="1"/>
  <c r="E77" i="69"/>
  <c r="F77" i="69" s="1"/>
  <c r="E76" i="69"/>
  <c r="F76" i="69" s="1"/>
  <c r="E75" i="69"/>
  <c r="F75" i="69" s="1"/>
  <c r="E74" i="69"/>
  <c r="F74" i="69" s="1"/>
  <c r="E73" i="69"/>
  <c r="F73" i="69" s="1"/>
  <c r="E72" i="69"/>
  <c r="F72" i="69" s="1"/>
  <c r="E71" i="69"/>
  <c r="F71" i="69" s="1"/>
  <c r="E70" i="69"/>
  <c r="F70" i="69" s="1"/>
  <c r="E69" i="69"/>
  <c r="F69" i="69" s="1"/>
  <c r="E68" i="69"/>
  <c r="F68" i="69" s="1"/>
  <c r="E67" i="69"/>
  <c r="F67" i="69" s="1"/>
  <c r="E66" i="69"/>
  <c r="F66" i="69" s="1"/>
  <c r="E65" i="69"/>
  <c r="F65" i="69" s="1"/>
  <c r="E64" i="69"/>
  <c r="F64" i="69" s="1"/>
  <c r="E63" i="69"/>
  <c r="F63" i="69" s="1"/>
  <c r="E62" i="69"/>
  <c r="F62" i="69" s="1"/>
  <c r="E61" i="69"/>
  <c r="F61" i="69" s="1"/>
  <c r="E60" i="69"/>
  <c r="F60" i="69" s="1"/>
  <c r="E59" i="69"/>
  <c r="F59" i="69" s="1"/>
  <c r="E58" i="69"/>
  <c r="F58" i="69" s="1"/>
  <c r="E57" i="69"/>
  <c r="F57" i="69" s="1"/>
  <c r="E56" i="69"/>
  <c r="F56" i="69" s="1"/>
  <c r="E55" i="69"/>
  <c r="F55" i="69" s="1"/>
  <c r="E54" i="69"/>
  <c r="F54" i="69" s="1"/>
  <c r="E53" i="69"/>
  <c r="F53" i="69" s="1"/>
  <c r="E52" i="69"/>
  <c r="F52" i="69" s="1"/>
  <c r="E51" i="69"/>
  <c r="F51" i="69" s="1"/>
  <c r="E50" i="69"/>
  <c r="F50" i="69" s="1"/>
  <c r="E49" i="69"/>
  <c r="F49" i="69" s="1"/>
  <c r="E48" i="69"/>
  <c r="F48" i="69" s="1"/>
  <c r="E47" i="69"/>
  <c r="F47" i="69" s="1"/>
  <c r="E46" i="69"/>
  <c r="F46" i="69" s="1"/>
  <c r="E45" i="69"/>
  <c r="F45" i="69" s="1"/>
  <c r="E44" i="69"/>
  <c r="F44" i="69" s="1"/>
  <c r="E43" i="69"/>
  <c r="F43" i="69" s="1"/>
  <c r="E42" i="69"/>
  <c r="F42" i="69" s="1"/>
  <c r="E41" i="69"/>
  <c r="F41" i="69" s="1"/>
  <c r="E40" i="69"/>
  <c r="F40" i="69" s="1"/>
  <c r="E39" i="69"/>
  <c r="F39" i="69" s="1"/>
  <c r="E38" i="69"/>
  <c r="F38" i="69" s="1"/>
  <c r="E37" i="69"/>
  <c r="F37" i="69" s="1"/>
  <c r="E36" i="69"/>
  <c r="F36" i="69" s="1"/>
  <c r="E35" i="69"/>
  <c r="F35" i="69" s="1"/>
  <c r="E34" i="69"/>
  <c r="F34" i="69" s="1"/>
  <c r="E33" i="69"/>
  <c r="F33" i="69" s="1"/>
  <c r="E32" i="69"/>
  <c r="F32" i="69" s="1"/>
  <c r="E31" i="69"/>
  <c r="F31" i="69" s="1"/>
  <c r="E30" i="69"/>
  <c r="F30" i="69" s="1"/>
  <c r="E29" i="69"/>
  <c r="F29" i="69" s="1"/>
  <c r="E28" i="69"/>
  <c r="F28" i="69" s="1"/>
  <c r="E27" i="69"/>
  <c r="F27" i="69" s="1"/>
  <c r="E26" i="69"/>
  <c r="F26" i="69" s="1"/>
  <c r="E25" i="69"/>
  <c r="F25" i="69" s="1"/>
  <c r="E24" i="69"/>
  <c r="F24" i="69" s="1"/>
  <c r="E23" i="69"/>
  <c r="F23" i="69" s="1"/>
  <c r="E22" i="69"/>
  <c r="F22" i="69" s="1"/>
  <c r="E21" i="69"/>
  <c r="F21" i="69" s="1"/>
  <c r="E20" i="69"/>
  <c r="F20" i="69" s="1"/>
  <c r="E19" i="69"/>
  <c r="F19" i="69" s="1"/>
  <c r="E18" i="69"/>
  <c r="F18" i="69" s="1"/>
  <c r="E17" i="69"/>
  <c r="F17" i="69" s="1"/>
  <c r="E16" i="69"/>
  <c r="F16" i="69" s="1"/>
  <c r="E15" i="69"/>
  <c r="F15" i="69" s="1"/>
  <c r="E14" i="69"/>
  <c r="F14" i="69" s="1"/>
  <c r="E13" i="69"/>
  <c r="F13" i="69" s="1"/>
  <c r="E12" i="69"/>
  <c r="F12" i="69" s="1"/>
  <c r="E11" i="69"/>
  <c r="F11" i="69" s="1"/>
  <c r="E10" i="69"/>
  <c r="F10" i="69" s="1"/>
  <c r="E9" i="69"/>
  <c r="F9" i="69" s="1"/>
  <c r="E8" i="69"/>
  <c r="F8" i="69" s="1"/>
  <c r="E4" i="69"/>
  <c r="E3" i="69"/>
  <c r="F248" i="68"/>
  <c r="E248" i="68"/>
  <c r="F247" i="68"/>
  <c r="E247" i="68"/>
  <c r="F246" i="68"/>
  <c r="E246" i="68"/>
  <c r="F245" i="68"/>
  <c r="E245" i="68"/>
  <c r="F244" i="68"/>
  <c r="E244" i="68"/>
  <c r="F243" i="68"/>
  <c r="E243" i="68"/>
  <c r="F242" i="68"/>
  <c r="E242" i="68"/>
  <c r="F241" i="68"/>
  <c r="E241" i="68"/>
  <c r="F240" i="68"/>
  <c r="E240" i="68"/>
  <c r="F239" i="68"/>
  <c r="E239" i="68"/>
  <c r="F238" i="68"/>
  <c r="E238" i="68"/>
  <c r="F237" i="68"/>
  <c r="E237" i="68"/>
  <c r="F236" i="68"/>
  <c r="E236" i="68"/>
  <c r="F235" i="68"/>
  <c r="E235" i="68"/>
  <c r="F234" i="68"/>
  <c r="E234" i="68"/>
  <c r="F233" i="68"/>
  <c r="E233" i="68"/>
  <c r="F232" i="68"/>
  <c r="E232" i="68"/>
  <c r="F231" i="68"/>
  <c r="E231" i="68"/>
  <c r="F230" i="68"/>
  <c r="E230" i="68"/>
  <c r="F229" i="68"/>
  <c r="E229" i="68"/>
  <c r="F228" i="68"/>
  <c r="E228" i="68"/>
  <c r="F227" i="68"/>
  <c r="E227" i="68"/>
  <c r="F226" i="68"/>
  <c r="E226" i="68"/>
  <c r="F225" i="68"/>
  <c r="E225" i="68"/>
  <c r="F224" i="68"/>
  <c r="E224" i="68"/>
  <c r="F223" i="68"/>
  <c r="E223" i="68"/>
  <c r="F222" i="68"/>
  <c r="E222" i="68"/>
  <c r="F221" i="68"/>
  <c r="E221" i="68"/>
  <c r="F220" i="68"/>
  <c r="E220" i="68"/>
  <c r="F219" i="68"/>
  <c r="E219" i="68"/>
  <c r="F218" i="68"/>
  <c r="E218" i="68"/>
  <c r="F217" i="68"/>
  <c r="E217" i="68"/>
  <c r="F216" i="68"/>
  <c r="E216" i="68"/>
  <c r="F215" i="68"/>
  <c r="E215" i="68"/>
  <c r="F214" i="68"/>
  <c r="E214" i="68"/>
  <c r="F213" i="68"/>
  <c r="E213" i="68"/>
  <c r="F212" i="68"/>
  <c r="E212" i="68"/>
  <c r="F211" i="68"/>
  <c r="E211" i="68"/>
  <c r="F210" i="68"/>
  <c r="E210" i="68"/>
  <c r="F209" i="68"/>
  <c r="E209" i="68"/>
  <c r="F208" i="68"/>
  <c r="E208" i="68"/>
  <c r="F207" i="68"/>
  <c r="E207" i="68"/>
  <c r="F206" i="68"/>
  <c r="E206" i="68"/>
  <c r="F205" i="68"/>
  <c r="E205" i="68"/>
  <c r="F204" i="68"/>
  <c r="E204" i="68"/>
  <c r="F203" i="68"/>
  <c r="E203" i="68"/>
  <c r="F202" i="68"/>
  <c r="E202" i="68"/>
  <c r="F201" i="68"/>
  <c r="E201" i="68"/>
  <c r="F200" i="68"/>
  <c r="E200" i="68"/>
  <c r="F199" i="68"/>
  <c r="E199" i="68"/>
  <c r="F198" i="68"/>
  <c r="E198" i="68"/>
  <c r="F197" i="68"/>
  <c r="E197" i="68"/>
  <c r="F196" i="68"/>
  <c r="E196" i="68"/>
  <c r="F195" i="68"/>
  <c r="E195" i="68"/>
  <c r="F194" i="68"/>
  <c r="E194" i="68"/>
  <c r="F193" i="68"/>
  <c r="E193" i="68"/>
  <c r="F192" i="68"/>
  <c r="E192" i="68"/>
  <c r="F191" i="68"/>
  <c r="E191" i="68"/>
  <c r="F190" i="68"/>
  <c r="E190" i="68"/>
  <c r="F189" i="68"/>
  <c r="E189" i="68"/>
  <c r="F188" i="68"/>
  <c r="E188" i="68"/>
  <c r="F187" i="68"/>
  <c r="E187" i="68"/>
  <c r="F186" i="68"/>
  <c r="E186" i="68"/>
  <c r="F185" i="68"/>
  <c r="E185" i="68"/>
  <c r="F184" i="68"/>
  <c r="E184" i="68"/>
  <c r="F183" i="68"/>
  <c r="E183" i="68"/>
  <c r="F182" i="68"/>
  <c r="E182" i="68"/>
  <c r="F181" i="68"/>
  <c r="E181" i="68"/>
  <c r="F180" i="68"/>
  <c r="E180" i="68"/>
  <c r="F179" i="68"/>
  <c r="E179" i="68"/>
  <c r="F178" i="68"/>
  <c r="E178" i="68"/>
  <c r="F177" i="68"/>
  <c r="E177" i="68"/>
  <c r="F176" i="68"/>
  <c r="E176" i="68"/>
  <c r="F175" i="68"/>
  <c r="E175" i="68"/>
  <c r="F174" i="68"/>
  <c r="E174" i="68"/>
  <c r="F173" i="68"/>
  <c r="E173" i="68"/>
  <c r="F172" i="68"/>
  <c r="E172" i="68"/>
  <c r="F171" i="68"/>
  <c r="E171" i="68"/>
  <c r="F170" i="68"/>
  <c r="E170" i="68"/>
  <c r="F169" i="68"/>
  <c r="E169" i="68"/>
  <c r="F168" i="68"/>
  <c r="E168" i="68"/>
  <c r="F167" i="68"/>
  <c r="E167" i="68"/>
  <c r="F166" i="68"/>
  <c r="E166" i="68"/>
  <c r="F165" i="68"/>
  <c r="E165" i="68"/>
  <c r="F164" i="68"/>
  <c r="E164" i="68"/>
  <c r="F163" i="68"/>
  <c r="E163" i="68"/>
  <c r="F162" i="68"/>
  <c r="E162" i="68"/>
  <c r="F161" i="68"/>
  <c r="E161" i="68"/>
  <c r="F160" i="68"/>
  <c r="E160" i="68"/>
  <c r="F159" i="68"/>
  <c r="E159" i="68"/>
  <c r="F158" i="68"/>
  <c r="E158" i="68"/>
  <c r="F157" i="68"/>
  <c r="E157" i="68"/>
  <c r="F156" i="68"/>
  <c r="E156" i="68"/>
  <c r="F155" i="68"/>
  <c r="E155" i="68"/>
  <c r="F154" i="68"/>
  <c r="E154" i="68"/>
  <c r="F153" i="68"/>
  <c r="E153" i="68"/>
  <c r="F152" i="68"/>
  <c r="E152" i="68"/>
  <c r="F151" i="68"/>
  <c r="E151" i="68"/>
  <c r="F150" i="68"/>
  <c r="E150" i="68"/>
  <c r="F149" i="68"/>
  <c r="E149" i="68"/>
  <c r="F148" i="68"/>
  <c r="E148" i="68"/>
  <c r="F147" i="68"/>
  <c r="E147" i="68"/>
  <c r="F146" i="68"/>
  <c r="E146" i="68"/>
  <c r="F145" i="68"/>
  <c r="E145" i="68"/>
  <c r="F144" i="68"/>
  <c r="E144" i="68"/>
  <c r="F143" i="68"/>
  <c r="E143" i="68"/>
  <c r="F142" i="68"/>
  <c r="E142" i="68"/>
  <c r="F141" i="68"/>
  <c r="E141" i="68"/>
  <c r="F140" i="68"/>
  <c r="E140" i="68"/>
  <c r="F139" i="68"/>
  <c r="E139" i="68"/>
  <c r="F138" i="68"/>
  <c r="E138" i="68"/>
  <c r="F137" i="68"/>
  <c r="E137" i="68"/>
  <c r="F136" i="68"/>
  <c r="E136" i="68"/>
  <c r="F135" i="68"/>
  <c r="E135" i="68"/>
  <c r="F134" i="68"/>
  <c r="E134" i="68"/>
  <c r="F133" i="68"/>
  <c r="E133" i="68"/>
  <c r="F132" i="68"/>
  <c r="E132" i="68"/>
  <c r="F131" i="68"/>
  <c r="E131" i="68"/>
  <c r="F130" i="68"/>
  <c r="E130" i="68"/>
  <c r="F129" i="68"/>
  <c r="E129" i="68"/>
  <c r="F128" i="68"/>
  <c r="E128" i="68"/>
  <c r="F127" i="68"/>
  <c r="E127" i="68"/>
  <c r="F126" i="68"/>
  <c r="E126" i="68"/>
  <c r="F125" i="68"/>
  <c r="E125" i="68"/>
  <c r="F124" i="68"/>
  <c r="E124" i="68"/>
  <c r="F123" i="68"/>
  <c r="E123" i="68"/>
  <c r="F122" i="68"/>
  <c r="E122" i="68"/>
  <c r="F121" i="68"/>
  <c r="E121" i="68"/>
  <c r="F120" i="68"/>
  <c r="E120" i="68"/>
  <c r="F119" i="68"/>
  <c r="E119" i="68"/>
  <c r="F118" i="68"/>
  <c r="E118" i="68"/>
  <c r="F117" i="68"/>
  <c r="E117" i="68"/>
  <c r="F116" i="68"/>
  <c r="E116" i="68"/>
  <c r="F115" i="68"/>
  <c r="E115" i="68"/>
  <c r="F114" i="68"/>
  <c r="E114" i="68"/>
  <c r="F113" i="68"/>
  <c r="E113" i="68"/>
  <c r="F112" i="68"/>
  <c r="E112" i="68"/>
  <c r="F111" i="68"/>
  <c r="E111" i="68"/>
  <c r="F110" i="68"/>
  <c r="E110" i="68"/>
  <c r="F109" i="68"/>
  <c r="E109" i="68"/>
  <c r="F108" i="68"/>
  <c r="E108" i="68"/>
  <c r="F107" i="68"/>
  <c r="E107" i="68"/>
  <c r="F106" i="68"/>
  <c r="E106" i="68"/>
  <c r="F105" i="68"/>
  <c r="E105" i="68"/>
  <c r="F104" i="68"/>
  <c r="E104" i="68"/>
  <c r="F103" i="68"/>
  <c r="E103" i="68"/>
  <c r="F102" i="68"/>
  <c r="E102" i="68"/>
  <c r="F101" i="68"/>
  <c r="E101" i="68"/>
  <c r="F100" i="68"/>
  <c r="E100" i="68"/>
  <c r="F99" i="68"/>
  <c r="E99" i="68"/>
  <c r="F98" i="68"/>
  <c r="E98" i="68"/>
  <c r="F97" i="68"/>
  <c r="E97" i="68"/>
  <c r="F96" i="68"/>
  <c r="E96" i="68"/>
  <c r="E95" i="68"/>
  <c r="F95" i="68" s="1"/>
  <c r="E94" i="68"/>
  <c r="F94" i="68" s="1"/>
  <c r="E93" i="68"/>
  <c r="F93" i="68" s="1"/>
  <c r="E92" i="68"/>
  <c r="F92" i="68" s="1"/>
  <c r="E91" i="68"/>
  <c r="F91" i="68" s="1"/>
  <c r="E90" i="68"/>
  <c r="F90" i="68" s="1"/>
  <c r="E89" i="68"/>
  <c r="F89" i="68" s="1"/>
  <c r="E88" i="68"/>
  <c r="F88" i="68" s="1"/>
  <c r="E87" i="68"/>
  <c r="F87" i="68" s="1"/>
  <c r="E86" i="68"/>
  <c r="F86" i="68" s="1"/>
  <c r="E85" i="68"/>
  <c r="F85" i="68" s="1"/>
  <c r="E84" i="68"/>
  <c r="F84" i="68" s="1"/>
  <c r="E83" i="68"/>
  <c r="F83" i="68" s="1"/>
  <c r="E82" i="68"/>
  <c r="F82" i="68" s="1"/>
  <c r="E81" i="68"/>
  <c r="F81" i="68" s="1"/>
  <c r="E80" i="68"/>
  <c r="F80" i="68" s="1"/>
  <c r="E79" i="68"/>
  <c r="F79" i="68" s="1"/>
  <c r="E78" i="68"/>
  <c r="F78" i="68" s="1"/>
  <c r="E77" i="68"/>
  <c r="F77" i="68" s="1"/>
  <c r="E76" i="68"/>
  <c r="F76" i="68" s="1"/>
  <c r="E75" i="68"/>
  <c r="F75" i="68" s="1"/>
  <c r="E74" i="68"/>
  <c r="F74" i="68" s="1"/>
  <c r="E73" i="68"/>
  <c r="F73" i="68" s="1"/>
  <c r="E72" i="68"/>
  <c r="F72" i="68" s="1"/>
  <c r="E71" i="68"/>
  <c r="F71" i="68" s="1"/>
  <c r="E70" i="68"/>
  <c r="F70" i="68" s="1"/>
  <c r="E69" i="68"/>
  <c r="F69" i="68" s="1"/>
  <c r="E68" i="68"/>
  <c r="F68" i="68" s="1"/>
  <c r="E67" i="68"/>
  <c r="F67" i="68" s="1"/>
  <c r="E66" i="68"/>
  <c r="F66" i="68" s="1"/>
  <c r="E65" i="68"/>
  <c r="F65" i="68" s="1"/>
  <c r="E64" i="68"/>
  <c r="F64" i="68" s="1"/>
  <c r="E63" i="68"/>
  <c r="F63" i="68" s="1"/>
  <c r="E62" i="68"/>
  <c r="F62" i="68" s="1"/>
  <c r="E61" i="68"/>
  <c r="F61" i="68" s="1"/>
  <c r="E60" i="68"/>
  <c r="F60" i="68" s="1"/>
  <c r="E59" i="68"/>
  <c r="F59" i="68" s="1"/>
  <c r="E58" i="68"/>
  <c r="F58" i="68" s="1"/>
  <c r="E57" i="68"/>
  <c r="F57" i="68" s="1"/>
  <c r="E56" i="68"/>
  <c r="F56" i="68" s="1"/>
  <c r="E55" i="68"/>
  <c r="F55" i="68" s="1"/>
  <c r="E54" i="68"/>
  <c r="F54" i="68" s="1"/>
  <c r="E53" i="68"/>
  <c r="F53" i="68" s="1"/>
  <c r="E52" i="68"/>
  <c r="F52" i="68" s="1"/>
  <c r="E51" i="68"/>
  <c r="F51" i="68" s="1"/>
  <c r="E50" i="68"/>
  <c r="F50" i="68" s="1"/>
  <c r="E49" i="68"/>
  <c r="F49" i="68" s="1"/>
  <c r="E48" i="68"/>
  <c r="F48" i="68" s="1"/>
  <c r="E47" i="68"/>
  <c r="F47" i="68" s="1"/>
  <c r="E46" i="68"/>
  <c r="F46" i="68" s="1"/>
  <c r="E45" i="68"/>
  <c r="F45" i="68" s="1"/>
  <c r="E44" i="68"/>
  <c r="F44" i="68" s="1"/>
  <c r="E43" i="68"/>
  <c r="F43" i="68" s="1"/>
  <c r="E42" i="68"/>
  <c r="F42" i="68" s="1"/>
  <c r="E41" i="68"/>
  <c r="F41" i="68" s="1"/>
  <c r="E40" i="68"/>
  <c r="F40" i="68" s="1"/>
  <c r="E39" i="68"/>
  <c r="F39" i="68" s="1"/>
  <c r="E38" i="68"/>
  <c r="F38" i="68" s="1"/>
  <c r="E37" i="68"/>
  <c r="F37" i="68" s="1"/>
  <c r="E36" i="68"/>
  <c r="F36" i="68" s="1"/>
  <c r="E35" i="68"/>
  <c r="F35" i="68" s="1"/>
  <c r="E34" i="68"/>
  <c r="F34" i="68" s="1"/>
  <c r="E33" i="68"/>
  <c r="F33" i="68" s="1"/>
  <c r="E32" i="68"/>
  <c r="F32" i="68" s="1"/>
  <c r="E31" i="68"/>
  <c r="F31" i="68" s="1"/>
  <c r="E30" i="68"/>
  <c r="F30" i="68" s="1"/>
  <c r="E29" i="68"/>
  <c r="F29" i="68" s="1"/>
  <c r="E28" i="68"/>
  <c r="F28" i="68" s="1"/>
  <c r="E27" i="68"/>
  <c r="F27" i="68" s="1"/>
  <c r="E26" i="68"/>
  <c r="F26" i="68" s="1"/>
  <c r="E25" i="68"/>
  <c r="F25" i="68" s="1"/>
  <c r="E24" i="68"/>
  <c r="F24" i="68" s="1"/>
  <c r="E23" i="68"/>
  <c r="F23" i="68" s="1"/>
  <c r="E22" i="68"/>
  <c r="F22" i="68" s="1"/>
  <c r="E21" i="68"/>
  <c r="F21" i="68" s="1"/>
  <c r="E20" i="68"/>
  <c r="F20" i="68" s="1"/>
  <c r="E19" i="68"/>
  <c r="F19" i="68" s="1"/>
  <c r="E18" i="68"/>
  <c r="F18" i="68" s="1"/>
  <c r="E17" i="68"/>
  <c r="F17" i="68" s="1"/>
  <c r="E16" i="68"/>
  <c r="F16" i="68" s="1"/>
  <c r="E15" i="68"/>
  <c r="F15" i="68" s="1"/>
  <c r="E14" i="68"/>
  <c r="F14" i="68" s="1"/>
  <c r="E13" i="68"/>
  <c r="F13" i="68" s="1"/>
  <c r="E12" i="68"/>
  <c r="F12" i="68" s="1"/>
  <c r="E11" i="68"/>
  <c r="F11" i="68" s="1"/>
  <c r="E10" i="68"/>
  <c r="F10" i="68" s="1"/>
  <c r="E9" i="68"/>
  <c r="F9" i="68" s="1"/>
  <c r="E8" i="68"/>
  <c r="F8" i="68" s="1"/>
  <c r="E4" i="68"/>
  <c r="E3" i="68"/>
  <c r="F248" i="67"/>
  <c r="E248" i="67"/>
  <c r="F247" i="67"/>
  <c r="E247" i="67"/>
  <c r="F246" i="67"/>
  <c r="E246" i="67"/>
  <c r="F245" i="67"/>
  <c r="E245" i="67"/>
  <c r="F244" i="67"/>
  <c r="E244" i="67"/>
  <c r="F243" i="67"/>
  <c r="E243" i="67"/>
  <c r="F242" i="67"/>
  <c r="E242" i="67"/>
  <c r="F241" i="67"/>
  <c r="E241" i="67"/>
  <c r="F240" i="67"/>
  <c r="E240" i="67"/>
  <c r="F239" i="67"/>
  <c r="E239" i="67"/>
  <c r="F238" i="67"/>
  <c r="E238" i="67"/>
  <c r="F237" i="67"/>
  <c r="E237" i="67"/>
  <c r="F236" i="67"/>
  <c r="E236" i="67"/>
  <c r="F235" i="67"/>
  <c r="E235" i="67"/>
  <c r="F234" i="67"/>
  <c r="E234" i="67"/>
  <c r="F233" i="67"/>
  <c r="E233" i="67"/>
  <c r="F232" i="67"/>
  <c r="E232" i="67"/>
  <c r="F231" i="67"/>
  <c r="E231" i="67"/>
  <c r="F230" i="67"/>
  <c r="E230" i="67"/>
  <c r="F229" i="67"/>
  <c r="E229" i="67"/>
  <c r="F228" i="67"/>
  <c r="E228" i="67"/>
  <c r="F227" i="67"/>
  <c r="E227" i="67"/>
  <c r="F226" i="67"/>
  <c r="E226" i="67"/>
  <c r="F225" i="67"/>
  <c r="E225" i="67"/>
  <c r="F224" i="67"/>
  <c r="E224" i="67"/>
  <c r="F223" i="67"/>
  <c r="E223" i="67"/>
  <c r="F222" i="67"/>
  <c r="E222" i="67"/>
  <c r="F221" i="67"/>
  <c r="E221" i="67"/>
  <c r="F220" i="67"/>
  <c r="E220" i="67"/>
  <c r="F219" i="67"/>
  <c r="E219" i="67"/>
  <c r="F218" i="67"/>
  <c r="E218" i="67"/>
  <c r="F217" i="67"/>
  <c r="E217" i="67"/>
  <c r="F216" i="67"/>
  <c r="E216" i="67"/>
  <c r="F215" i="67"/>
  <c r="E215" i="67"/>
  <c r="F214" i="67"/>
  <c r="E214" i="67"/>
  <c r="F213" i="67"/>
  <c r="E213" i="67"/>
  <c r="F212" i="67"/>
  <c r="E212" i="67"/>
  <c r="F211" i="67"/>
  <c r="E211" i="67"/>
  <c r="F210" i="67"/>
  <c r="E210" i="67"/>
  <c r="F209" i="67"/>
  <c r="E209" i="67"/>
  <c r="F208" i="67"/>
  <c r="E208" i="67"/>
  <c r="F207" i="67"/>
  <c r="E207" i="67"/>
  <c r="F206" i="67"/>
  <c r="E206" i="67"/>
  <c r="F205" i="67"/>
  <c r="E205" i="67"/>
  <c r="F204" i="67"/>
  <c r="E204" i="67"/>
  <c r="F203" i="67"/>
  <c r="E203" i="67"/>
  <c r="F202" i="67"/>
  <c r="E202" i="67"/>
  <c r="F201" i="67"/>
  <c r="E201" i="67"/>
  <c r="F200" i="67"/>
  <c r="E200" i="67"/>
  <c r="F199" i="67"/>
  <c r="E199" i="67"/>
  <c r="F198" i="67"/>
  <c r="E198" i="67"/>
  <c r="F197" i="67"/>
  <c r="E197" i="67"/>
  <c r="F196" i="67"/>
  <c r="E196" i="67"/>
  <c r="F195" i="67"/>
  <c r="E195" i="67"/>
  <c r="F194" i="67"/>
  <c r="E194" i="67"/>
  <c r="F193" i="67"/>
  <c r="E193" i="67"/>
  <c r="F192" i="67"/>
  <c r="E192" i="67"/>
  <c r="F191" i="67"/>
  <c r="E191" i="67"/>
  <c r="F190" i="67"/>
  <c r="E190" i="67"/>
  <c r="F189" i="67"/>
  <c r="E189" i="67"/>
  <c r="F188" i="67"/>
  <c r="E188" i="67"/>
  <c r="F187" i="67"/>
  <c r="E187" i="67"/>
  <c r="F186" i="67"/>
  <c r="E186" i="67"/>
  <c r="F185" i="67"/>
  <c r="E185" i="67"/>
  <c r="F184" i="67"/>
  <c r="E184" i="67"/>
  <c r="F183" i="67"/>
  <c r="E183" i="67"/>
  <c r="F182" i="67"/>
  <c r="E182" i="67"/>
  <c r="F181" i="67"/>
  <c r="E181" i="67"/>
  <c r="F180" i="67"/>
  <c r="E180" i="67"/>
  <c r="F179" i="67"/>
  <c r="E179" i="67"/>
  <c r="F178" i="67"/>
  <c r="E178" i="67"/>
  <c r="F177" i="67"/>
  <c r="E177" i="67"/>
  <c r="F176" i="67"/>
  <c r="E176" i="67"/>
  <c r="F175" i="67"/>
  <c r="E175" i="67"/>
  <c r="F174" i="67"/>
  <c r="E174" i="67"/>
  <c r="F173" i="67"/>
  <c r="E173" i="67"/>
  <c r="F172" i="67"/>
  <c r="E172" i="67"/>
  <c r="F171" i="67"/>
  <c r="E171" i="67"/>
  <c r="F170" i="67"/>
  <c r="E170" i="67"/>
  <c r="F169" i="67"/>
  <c r="E169" i="67"/>
  <c r="F168" i="67"/>
  <c r="E168" i="67"/>
  <c r="F167" i="67"/>
  <c r="E167" i="67"/>
  <c r="F166" i="67"/>
  <c r="E166" i="67"/>
  <c r="F165" i="67"/>
  <c r="E165" i="67"/>
  <c r="F164" i="67"/>
  <c r="E164" i="67"/>
  <c r="F163" i="67"/>
  <c r="E163" i="67"/>
  <c r="F162" i="67"/>
  <c r="E162" i="67"/>
  <c r="F161" i="67"/>
  <c r="E161" i="67"/>
  <c r="F160" i="67"/>
  <c r="E160" i="67"/>
  <c r="F159" i="67"/>
  <c r="E159" i="67"/>
  <c r="F158" i="67"/>
  <c r="E158" i="67"/>
  <c r="F157" i="67"/>
  <c r="E157" i="67"/>
  <c r="F156" i="67"/>
  <c r="E156" i="67"/>
  <c r="F155" i="67"/>
  <c r="E155" i="67"/>
  <c r="F154" i="67"/>
  <c r="E154" i="67"/>
  <c r="F153" i="67"/>
  <c r="E153" i="67"/>
  <c r="F152" i="67"/>
  <c r="E152" i="67"/>
  <c r="F151" i="67"/>
  <c r="E151" i="67"/>
  <c r="F150" i="67"/>
  <c r="E150" i="67"/>
  <c r="F149" i="67"/>
  <c r="E149" i="67"/>
  <c r="F148" i="67"/>
  <c r="E148" i="67"/>
  <c r="F147" i="67"/>
  <c r="E147" i="67"/>
  <c r="F146" i="67"/>
  <c r="E146" i="67"/>
  <c r="F145" i="67"/>
  <c r="E145" i="67"/>
  <c r="F144" i="67"/>
  <c r="E144" i="67"/>
  <c r="F143" i="67"/>
  <c r="E143" i="67"/>
  <c r="F142" i="67"/>
  <c r="E142" i="67"/>
  <c r="F141" i="67"/>
  <c r="E141" i="67"/>
  <c r="F140" i="67"/>
  <c r="E140" i="67"/>
  <c r="F139" i="67"/>
  <c r="E139" i="67"/>
  <c r="F138" i="67"/>
  <c r="E138" i="67"/>
  <c r="F137" i="67"/>
  <c r="E137" i="67"/>
  <c r="F136" i="67"/>
  <c r="E136" i="67"/>
  <c r="F135" i="67"/>
  <c r="E135" i="67"/>
  <c r="F134" i="67"/>
  <c r="E134" i="67"/>
  <c r="F133" i="67"/>
  <c r="E133" i="67"/>
  <c r="F132" i="67"/>
  <c r="E132" i="67"/>
  <c r="F131" i="67"/>
  <c r="E131" i="67"/>
  <c r="F130" i="67"/>
  <c r="E130" i="67"/>
  <c r="F129" i="67"/>
  <c r="E129" i="67"/>
  <c r="F128" i="67"/>
  <c r="E128" i="67"/>
  <c r="F127" i="67"/>
  <c r="E127" i="67"/>
  <c r="F126" i="67"/>
  <c r="E126" i="67"/>
  <c r="F125" i="67"/>
  <c r="E125" i="67"/>
  <c r="F124" i="67"/>
  <c r="E124" i="67"/>
  <c r="F123" i="67"/>
  <c r="E123" i="67"/>
  <c r="F122" i="67"/>
  <c r="E122" i="67"/>
  <c r="F121" i="67"/>
  <c r="E121" i="67"/>
  <c r="F120" i="67"/>
  <c r="E120" i="67"/>
  <c r="F119" i="67"/>
  <c r="E119" i="67"/>
  <c r="F118" i="67"/>
  <c r="E118" i="67"/>
  <c r="F117" i="67"/>
  <c r="E117" i="67"/>
  <c r="F116" i="67"/>
  <c r="E116" i="67"/>
  <c r="F115" i="67"/>
  <c r="E115" i="67"/>
  <c r="F114" i="67"/>
  <c r="E114" i="67"/>
  <c r="F113" i="67"/>
  <c r="E113" i="67"/>
  <c r="F112" i="67"/>
  <c r="E112" i="67"/>
  <c r="F111" i="67"/>
  <c r="E111" i="67"/>
  <c r="F110" i="67"/>
  <c r="E110" i="67"/>
  <c r="F109" i="67"/>
  <c r="E109" i="67"/>
  <c r="F108" i="67"/>
  <c r="E108" i="67"/>
  <c r="F107" i="67"/>
  <c r="E107" i="67"/>
  <c r="F106" i="67"/>
  <c r="E106" i="67"/>
  <c r="F105" i="67"/>
  <c r="E105" i="67"/>
  <c r="F104" i="67"/>
  <c r="E104" i="67"/>
  <c r="F103" i="67"/>
  <c r="E103" i="67"/>
  <c r="F102" i="67"/>
  <c r="E102" i="67"/>
  <c r="F101" i="67"/>
  <c r="E101" i="67"/>
  <c r="F100" i="67"/>
  <c r="E100" i="67"/>
  <c r="F99" i="67"/>
  <c r="E99" i="67"/>
  <c r="F98" i="67"/>
  <c r="E98" i="67"/>
  <c r="F97" i="67"/>
  <c r="E97" i="67"/>
  <c r="F96" i="67"/>
  <c r="E96" i="67"/>
  <c r="E95" i="67"/>
  <c r="F95" i="67" s="1"/>
  <c r="E94" i="67"/>
  <c r="F94" i="67" s="1"/>
  <c r="E93" i="67"/>
  <c r="F93" i="67" s="1"/>
  <c r="E92" i="67"/>
  <c r="F92" i="67" s="1"/>
  <c r="E91" i="67"/>
  <c r="F91" i="67" s="1"/>
  <c r="E90" i="67"/>
  <c r="F90" i="67" s="1"/>
  <c r="E89" i="67"/>
  <c r="F89" i="67" s="1"/>
  <c r="E88" i="67"/>
  <c r="F88" i="67" s="1"/>
  <c r="E87" i="67"/>
  <c r="F87" i="67" s="1"/>
  <c r="E86" i="67"/>
  <c r="F86" i="67" s="1"/>
  <c r="E85" i="67"/>
  <c r="F85" i="67" s="1"/>
  <c r="E84" i="67"/>
  <c r="F84" i="67" s="1"/>
  <c r="E83" i="67"/>
  <c r="F83" i="67" s="1"/>
  <c r="E82" i="67"/>
  <c r="F82" i="67" s="1"/>
  <c r="E81" i="67"/>
  <c r="F81" i="67" s="1"/>
  <c r="E80" i="67"/>
  <c r="F80" i="67" s="1"/>
  <c r="E79" i="67"/>
  <c r="F79" i="67" s="1"/>
  <c r="E78" i="67"/>
  <c r="F78" i="67" s="1"/>
  <c r="E77" i="67"/>
  <c r="F77" i="67" s="1"/>
  <c r="E76" i="67"/>
  <c r="F76" i="67" s="1"/>
  <c r="E75" i="67"/>
  <c r="F75" i="67" s="1"/>
  <c r="E74" i="67"/>
  <c r="F74" i="67" s="1"/>
  <c r="E73" i="67"/>
  <c r="F73" i="67" s="1"/>
  <c r="E72" i="67"/>
  <c r="F72" i="67" s="1"/>
  <c r="E71" i="67"/>
  <c r="F71" i="67" s="1"/>
  <c r="E70" i="67"/>
  <c r="F70" i="67" s="1"/>
  <c r="E69" i="67"/>
  <c r="F69" i="67" s="1"/>
  <c r="E68" i="67"/>
  <c r="F68" i="67" s="1"/>
  <c r="E67" i="67"/>
  <c r="F67" i="67" s="1"/>
  <c r="E66" i="67"/>
  <c r="F66" i="67" s="1"/>
  <c r="E65" i="67"/>
  <c r="F65" i="67" s="1"/>
  <c r="E64" i="67"/>
  <c r="F64" i="67" s="1"/>
  <c r="E63" i="67"/>
  <c r="F63" i="67" s="1"/>
  <c r="E62" i="67"/>
  <c r="F62" i="67" s="1"/>
  <c r="E61" i="67"/>
  <c r="F61" i="67" s="1"/>
  <c r="E60" i="67"/>
  <c r="F60" i="67" s="1"/>
  <c r="E59" i="67"/>
  <c r="F59" i="67" s="1"/>
  <c r="E58" i="67"/>
  <c r="F58" i="67" s="1"/>
  <c r="E57" i="67"/>
  <c r="F57" i="67" s="1"/>
  <c r="E56" i="67"/>
  <c r="F56" i="67" s="1"/>
  <c r="E55" i="67"/>
  <c r="F55" i="67" s="1"/>
  <c r="E54" i="67"/>
  <c r="F54" i="67" s="1"/>
  <c r="E53" i="67"/>
  <c r="F53" i="67" s="1"/>
  <c r="E52" i="67"/>
  <c r="F52" i="67" s="1"/>
  <c r="E51" i="67"/>
  <c r="F51" i="67" s="1"/>
  <c r="E50" i="67"/>
  <c r="F50" i="67" s="1"/>
  <c r="E49" i="67"/>
  <c r="F49" i="67" s="1"/>
  <c r="E48" i="67"/>
  <c r="F48" i="67" s="1"/>
  <c r="E47" i="67"/>
  <c r="F47" i="67" s="1"/>
  <c r="E46" i="67"/>
  <c r="F46" i="67" s="1"/>
  <c r="E45" i="67"/>
  <c r="F45" i="67" s="1"/>
  <c r="E44" i="67"/>
  <c r="F44" i="67" s="1"/>
  <c r="E43" i="67"/>
  <c r="F43" i="67" s="1"/>
  <c r="E42" i="67"/>
  <c r="F42" i="67" s="1"/>
  <c r="E41" i="67"/>
  <c r="F41" i="67" s="1"/>
  <c r="E40" i="67"/>
  <c r="F40" i="67" s="1"/>
  <c r="E39" i="67"/>
  <c r="F39" i="67" s="1"/>
  <c r="E38" i="67"/>
  <c r="F38" i="67" s="1"/>
  <c r="E37" i="67"/>
  <c r="F37" i="67" s="1"/>
  <c r="E36" i="67"/>
  <c r="F36" i="67" s="1"/>
  <c r="E35" i="67"/>
  <c r="F35" i="67" s="1"/>
  <c r="E34" i="67"/>
  <c r="F34" i="67" s="1"/>
  <c r="E33" i="67"/>
  <c r="F33" i="67" s="1"/>
  <c r="E32" i="67"/>
  <c r="F32" i="67" s="1"/>
  <c r="E31" i="67"/>
  <c r="F31" i="67" s="1"/>
  <c r="E30" i="67"/>
  <c r="F30" i="67" s="1"/>
  <c r="E29" i="67"/>
  <c r="F29" i="67" s="1"/>
  <c r="E28" i="67"/>
  <c r="F28" i="67" s="1"/>
  <c r="E27" i="67"/>
  <c r="F27" i="67" s="1"/>
  <c r="E26" i="67"/>
  <c r="F26" i="67" s="1"/>
  <c r="E25" i="67"/>
  <c r="F25" i="67" s="1"/>
  <c r="E24" i="67"/>
  <c r="F24" i="67" s="1"/>
  <c r="E23" i="67"/>
  <c r="F23" i="67" s="1"/>
  <c r="E22" i="67"/>
  <c r="F22" i="67" s="1"/>
  <c r="E21" i="67"/>
  <c r="F21" i="67" s="1"/>
  <c r="E20" i="67"/>
  <c r="F20" i="67" s="1"/>
  <c r="E19" i="67"/>
  <c r="F19" i="67" s="1"/>
  <c r="E18" i="67"/>
  <c r="F18" i="67" s="1"/>
  <c r="E17" i="67"/>
  <c r="F17" i="67" s="1"/>
  <c r="E16" i="67"/>
  <c r="F16" i="67" s="1"/>
  <c r="E15" i="67"/>
  <c r="F15" i="67" s="1"/>
  <c r="E14" i="67"/>
  <c r="F14" i="67" s="1"/>
  <c r="E13" i="67"/>
  <c r="F13" i="67" s="1"/>
  <c r="E12" i="67"/>
  <c r="F12" i="67" s="1"/>
  <c r="E11" i="67"/>
  <c r="F11" i="67" s="1"/>
  <c r="E10" i="67"/>
  <c r="F10" i="67" s="1"/>
  <c r="E9" i="67"/>
  <c r="F9" i="67" s="1"/>
  <c r="E8" i="67"/>
  <c r="F8" i="67" s="1"/>
  <c r="E4" i="67"/>
  <c r="F4" i="67" s="1"/>
  <c r="E3" i="67"/>
  <c r="F26" i="72" l="1"/>
  <c r="F30" i="72"/>
  <c r="F34" i="72"/>
  <c r="F38" i="72"/>
  <c r="F42" i="72"/>
  <c r="F46" i="72"/>
  <c r="F50" i="72"/>
  <c r="F54" i="72"/>
  <c r="F58" i="72"/>
  <c r="F4" i="72"/>
  <c r="F27" i="72"/>
  <c r="F31" i="72"/>
  <c r="F35" i="72"/>
  <c r="F39" i="72"/>
  <c r="F43" i="72"/>
  <c r="F47" i="72"/>
  <c r="F51" i="72"/>
  <c r="F55" i="72"/>
  <c r="F24" i="72"/>
  <c r="F28" i="72"/>
  <c r="F32" i="72"/>
  <c r="F36" i="72"/>
  <c r="F40" i="72"/>
  <c r="F44" i="72"/>
  <c r="F48" i="72"/>
  <c r="F52" i="72"/>
  <c r="F4" i="71"/>
  <c r="F12" i="71"/>
  <c r="F36" i="71"/>
  <c r="F8" i="71"/>
  <c r="F24" i="71"/>
  <c r="F32" i="71"/>
  <c r="F21" i="71"/>
  <c r="F25" i="71"/>
  <c r="F29" i="71"/>
  <c r="F33" i="71"/>
  <c r="F37" i="71"/>
  <c r="F41" i="71"/>
  <c r="F16" i="71"/>
  <c r="F40" i="71"/>
  <c r="F20" i="71"/>
  <c r="F28" i="71"/>
  <c r="F14" i="71"/>
  <c r="F18" i="71"/>
  <c r="F22" i="71"/>
  <c r="F26" i="71"/>
  <c r="F30" i="71"/>
  <c r="F34" i="71"/>
  <c r="F4" i="70"/>
  <c r="F4" i="69"/>
  <c r="F4" i="68"/>
  <c r="F65" i="66"/>
  <c r="F64" i="66"/>
  <c r="F248" i="66"/>
  <c r="E248" i="66"/>
  <c r="F247" i="66"/>
  <c r="E247" i="66"/>
  <c r="F246" i="66"/>
  <c r="E246" i="66"/>
  <c r="F245" i="66"/>
  <c r="E245" i="66"/>
  <c r="F244" i="66"/>
  <c r="E244" i="66"/>
  <c r="F243" i="66"/>
  <c r="E243" i="66"/>
  <c r="F242" i="66"/>
  <c r="E242" i="66"/>
  <c r="F241" i="66"/>
  <c r="E241" i="66"/>
  <c r="F240" i="66"/>
  <c r="E240" i="66"/>
  <c r="F239" i="66"/>
  <c r="E239" i="66"/>
  <c r="F238" i="66"/>
  <c r="E238" i="66"/>
  <c r="F237" i="66"/>
  <c r="E237" i="66"/>
  <c r="F236" i="66"/>
  <c r="E236" i="66"/>
  <c r="F235" i="66"/>
  <c r="E235" i="66"/>
  <c r="F234" i="66"/>
  <c r="E234" i="66"/>
  <c r="F233" i="66"/>
  <c r="E233" i="66"/>
  <c r="F232" i="66"/>
  <c r="E232" i="66"/>
  <c r="F231" i="66"/>
  <c r="E231" i="66"/>
  <c r="F230" i="66"/>
  <c r="E230" i="66"/>
  <c r="F229" i="66"/>
  <c r="E229" i="66"/>
  <c r="F228" i="66"/>
  <c r="E228" i="66"/>
  <c r="F227" i="66"/>
  <c r="E227" i="66"/>
  <c r="F226" i="66"/>
  <c r="E226" i="66"/>
  <c r="F225" i="66"/>
  <c r="E225" i="66"/>
  <c r="F224" i="66"/>
  <c r="E224" i="66"/>
  <c r="F223" i="66"/>
  <c r="E223" i="66"/>
  <c r="F222" i="66"/>
  <c r="E222" i="66"/>
  <c r="F221" i="66"/>
  <c r="E221" i="66"/>
  <c r="F220" i="66"/>
  <c r="E220" i="66"/>
  <c r="F219" i="66"/>
  <c r="E219" i="66"/>
  <c r="F218" i="66"/>
  <c r="E218" i="66"/>
  <c r="F217" i="66"/>
  <c r="E217" i="66"/>
  <c r="F216" i="66"/>
  <c r="E216" i="66"/>
  <c r="F215" i="66"/>
  <c r="E215" i="66"/>
  <c r="F214" i="66"/>
  <c r="E214" i="66"/>
  <c r="F213" i="66"/>
  <c r="E213" i="66"/>
  <c r="F212" i="66"/>
  <c r="E212" i="66"/>
  <c r="F211" i="66"/>
  <c r="E211" i="66"/>
  <c r="F210" i="66"/>
  <c r="E210" i="66"/>
  <c r="F209" i="66"/>
  <c r="E209" i="66"/>
  <c r="F208" i="66"/>
  <c r="E208" i="66"/>
  <c r="F207" i="66"/>
  <c r="E207" i="66"/>
  <c r="F206" i="66"/>
  <c r="E206" i="66"/>
  <c r="F205" i="66"/>
  <c r="E205" i="66"/>
  <c r="F204" i="66"/>
  <c r="E204" i="66"/>
  <c r="F203" i="66"/>
  <c r="E203" i="66"/>
  <c r="F202" i="66"/>
  <c r="E202" i="66"/>
  <c r="F201" i="66"/>
  <c r="E201" i="66"/>
  <c r="F200" i="66"/>
  <c r="E200" i="66"/>
  <c r="F199" i="66"/>
  <c r="E199" i="66"/>
  <c r="F198" i="66"/>
  <c r="E198" i="66"/>
  <c r="F197" i="66"/>
  <c r="E197" i="66"/>
  <c r="F196" i="66"/>
  <c r="E196" i="66"/>
  <c r="F195" i="66"/>
  <c r="E195" i="66"/>
  <c r="F194" i="66"/>
  <c r="E194" i="66"/>
  <c r="F193" i="66"/>
  <c r="E193" i="66"/>
  <c r="F192" i="66"/>
  <c r="E192" i="66"/>
  <c r="F191" i="66"/>
  <c r="E191" i="66"/>
  <c r="F190" i="66"/>
  <c r="E190" i="66"/>
  <c r="F189" i="66"/>
  <c r="E189" i="66"/>
  <c r="F188" i="66"/>
  <c r="E188" i="66"/>
  <c r="F187" i="66"/>
  <c r="E187" i="66"/>
  <c r="F186" i="66"/>
  <c r="E186" i="66"/>
  <c r="F185" i="66"/>
  <c r="E185" i="66"/>
  <c r="F184" i="66"/>
  <c r="E184" i="66"/>
  <c r="F183" i="66"/>
  <c r="E183" i="66"/>
  <c r="F182" i="66"/>
  <c r="E182" i="66"/>
  <c r="F181" i="66"/>
  <c r="E181" i="66"/>
  <c r="F180" i="66"/>
  <c r="E180" i="66"/>
  <c r="F179" i="66"/>
  <c r="E179" i="66"/>
  <c r="F178" i="66"/>
  <c r="E178" i="66"/>
  <c r="F177" i="66"/>
  <c r="E177" i="66"/>
  <c r="F176" i="66"/>
  <c r="E176" i="66"/>
  <c r="F175" i="66"/>
  <c r="E175" i="66"/>
  <c r="F174" i="66"/>
  <c r="E174" i="66"/>
  <c r="F173" i="66"/>
  <c r="E173" i="66"/>
  <c r="F172" i="66"/>
  <c r="E172" i="66"/>
  <c r="F171" i="66"/>
  <c r="E171" i="66"/>
  <c r="F170" i="66"/>
  <c r="E170" i="66"/>
  <c r="F169" i="66"/>
  <c r="E169" i="66"/>
  <c r="F168" i="66"/>
  <c r="E168" i="66"/>
  <c r="F167" i="66"/>
  <c r="E167" i="66"/>
  <c r="F166" i="66"/>
  <c r="E166" i="66"/>
  <c r="F165" i="66"/>
  <c r="E165" i="66"/>
  <c r="F164" i="66"/>
  <c r="E164" i="66"/>
  <c r="F163" i="66"/>
  <c r="E163" i="66"/>
  <c r="F162" i="66"/>
  <c r="E162" i="66"/>
  <c r="F161" i="66"/>
  <c r="E161" i="66"/>
  <c r="F160" i="66"/>
  <c r="E160" i="66"/>
  <c r="F159" i="66"/>
  <c r="E159" i="66"/>
  <c r="F158" i="66"/>
  <c r="E158" i="66"/>
  <c r="F157" i="66"/>
  <c r="E157" i="66"/>
  <c r="F156" i="66"/>
  <c r="E156" i="66"/>
  <c r="F155" i="66"/>
  <c r="E155" i="66"/>
  <c r="F154" i="66"/>
  <c r="E154" i="66"/>
  <c r="F153" i="66"/>
  <c r="E153" i="66"/>
  <c r="F152" i="66"/>
  <c r="E152" i="66"/>
  <c r="F151" i="66"/>
  <c r="E151" i="66"/>
  <c r="F150" i="66"/>
  <c r="E150" i="66"/>
  <c r="F149" i="66"/>
  <c r="E149" i="66"/>
  <c r="F148" i="66"/>
  <c r="E148" i="66"/>
  <c r="F147" i="66"/>
  <c r="E147" i="66"/>
  <c r="F146" i="66"/>
  <c r="E146" i="66"/>
  <c r="F145" i="66"/>
  <c r="E145" i="66"/>
  <c r="F144" i="66"/>
  <c r="E144" i="66"/>
  <c r="F143" i="66"/>
  <c r="E143" i="66"/>
  <c r="F142" i="66"/>
  <c r="E142" i="66"/>
  <c r="F141" i="66"/>
  <c r="E141" i="66"/>
  <c r="F140" i="66"/>
  <c r="E140" i="66"/>
  <c r="F139" i="66"/>
  <c r="E139" i="66"/>
  <c r="F138" i="66"/>
  <c r="E138" i="66"/>
  <c r="F137" i="66"/>
  <c r="E137" i="66"/>
  <c r="F136" i="66"/>
  <c r="E136" i="66"/>
  <c r="F135" i="66"/>
  <c r="E135" i="66"/>
  <c r="F134" i="66"/>
  <c r="E134" i="66"/>
  <c r="F133" i="66"/>
  <c r="E133" i="66"/>
  <c r="F132" i="66"/>
  <c r="E132" i="66"/>
  <c r="F131" i="66"/>
  <c r="E131" i="66"/>
  <c r="F130" i="66"/>
  <c r="E130" i="66"/>
  <c r="F129" i="66"/>
  <c r="E129" i="66"/>
  <c r="F128" i="66"/>
  <c r="E128" i="66"/>
  <c r="F127" i="66"/>
  <c r="E127" i="66"/>
  <c r="F126" i="66"/>
  <c r="E126" i="66"/>
  <c r="F125" i="66"/>
  <c r="E125" i="66"/>
  <c r="F124" i="66"/>
  <c r="E124" i="66"/>
  <c r="F123" i="66"/>
  <c r="E123" i="66"/>
  <c r="F122" i="66"/>
  <c r="E122" i="66"/>
  <c r="F121" i="66"/>
  <c r="E121" i="66"/>
  <c r="F120" i="66"/>
  <c r="E120" i="66"/>
  <c r="F119" i="66"/>
  <c r="E119" i="66"/>
  <c r="F118" i="66"/>
  <c r="E118" i="66"/>
  <c r="F117" i="66"/>
  <c r="E117" i="66"/>
  <c r="F116" i="66"/>
  <c r="E116" i="66"/>
  <c r="F115" i="66"/>
  <c r="E115" i="66"/>
  <c r="F114" i="66"/>
  <c r="E114" i="66"/>
  <c r="F113" i="66"/>
  <c r="E113" i="66"/>
  <c r="F112" i="66"/>
  <c r="E112" i="66"/>
  <c r="F111" i="66"/>
  <c r="E111" i="66"/>
  <c r="F110" i="66"/>
  <c r="E110" i="66"/>
  <c r="F109" i="66"/>
  <c r="E109" i="66"/>
  <c r="F108" i="66"/>
  <c r="E108" i="66"/>
  <c r="F107" i="66"/>
  <c r="E107" i="66"/>
  <c r="F106" i="66"/>
  <c r="E106" i="66"/>
  <c r="F105" i="66"/>
  <c r="E105" i="66"/>
  <c r="F104" i="66"/>
  <c r="E104" i="66"/>
  <c r="F103" i="66"/>
  <c r="E103" i="66"/>
  <c r="F102" i="66"/>
  <c r="E102" i="66"/>
  <c r="F101" i="66"/>
  <c r="E101" i="66"/>
  <c r="F100" i="66"/>
  <c r="E100" i="66"/>
  <c r="F99" i="66"/>
  <c r="E99" i="66"/>
  <c r="F98" i="66"/>
  <c r="E98" i="66"/>
  <c r="F97" i="66"/>
  <c r="E97" i="66"/>
  <c r="F96" i="66"/>
  <c r="E96" i="66"/>
  <c r="F95" i="66"/>
  <c r="E95" i="66"/>
  <c r="F94" i="66"/>
  <c r="E94" i="66"/>
  <c r="F93" i="66"/>
  <c r="E93" i="66"/>
  <c r="F92" i="66"/>
  <c r="E92" i="66"/>
  <c r="F91" i="66"/>
  <c r="E91" i="66"/>
  <c r="F90" i="66"/>
  <c r="E90" i="66"/>
  <c r="F89" i="66"/>
  <c r="E89" i="66"/>
  <c r="F88" i="66"/>
  <c r="E88" i="66"/>
  <c r="F87" i="66"/>
  <c r="E87" i="66"/>
  <c r="F86" i="66"/>
  <c r="E86" i="66"/>
  <c r="F85" i="66"/>
  <c r="E85" i="66"/>
  <c r="F84" i="66"/>
  <c r="E84" i="66"/>
  <c r="F83" i="66"/>
  <c r="E83" i="66"/>
  <c r="F82" i="66"/>
  <c r="E82" i="66"/>
  <c r="F81" i="66"/>
  <c r="E81" i="66"/>
  <c r="F80" i="66"/>
  <c r="E80" i="66"/>
  <c r="F79" i="66"/>
  <c r="E79" i="66"/>
  <c r="F78" i="66"/>
  <c r="E78" i="66"/>
  <c r="F77" i="66"/>
  <c r="E77" i="66"/>
  <c r="F76" i="66"/>
  <c r="E76" i="66"/>
  <c r="F75" i="66"/>
  <c r="E75" i="66"/>
  <c r="F74" i="66"/>
  <c r="E74" i="66"/>
  <c r="F73" i="66"/>
  <c r="E73" i="66"/>
  <c r="F72" i="66"/>
  <c r="E72" i="66"/>
  <c r="F71" i="66"/>
  <c r="E71" i="66"/>
  <c r="F70" i="66"/>
  <c r="E70" i="66"/>
  <c r="F69" i="66"/>
  <c r="E69" i="66"/>
  <c r="F68" i="66"/>
  <c r="E68" i="66"/>
  <c r="F67" i="66"/>
  <c r="E67" i="66"/>
  <c r="F66" i="66"/>
  <c r="E66" i="66"/>
  <c r="E65" i="66"/>
  <c r="E64" i="66"/>
  <c r="E63" i="66"/>
  <c r="E62" i="66"/>
  <c r="E61" i="66"/>
  <c r="E60" i="66"/>
  <c r="E59" i="66"/>
  <c r="E58" i="66"/>
  <c r="E57" i="66"/>
  <c r="E56" i="66"/>
  <c r="E55" i="66"/>
  <c r="E54" i="66"/>
  <c r="E53" i="66"/>
  <c r="E52" i="66"/>
  <c r="E51" i="66"/>
  <c r="E50" i="66"/>
  <c r="E49" i="66"/>
  <c r="E48" i="66"/>
  <c r="E47" i="66"/>
  <c r="E46" i="66"/>
  <c r="E45" i="66"/>
  <c r="E44" i="66"/>
  <c r="E43" i="66"/>
  <c r="E42" i="66"/>
  <c r="E41" i="66"/>
  <c r="E40" i="66"/>
  <c r="E39" i="66"/>
  <c r="E38" i="66"/>
  <c r="E37" i="66"/>
  <c r="E36" i="66"/>
  <c r="E35" i="66"/>
  <c r="E34" i="66"/>
  <c r="E33" i="66"/>
  <c r="E32" i="66"/>
  <c r="E31" i="66"/>
  <c r="E30" i="66"/>
  <c r="E29" i="66"/>
  <c r="E28" i="66"/>
  <c r="F28" i="66" s="1"/>
  <c r="E27" i="66"/>
  <c r="E26" i="66"/>
  <c r="E25" i="66"/>
  <c r="E24" i="66"/>
  <c r="E23" i="66"/>
  <c r="E22" i="66"/>
  <c r="E21" i="66"/>
  <c r="E20" i="66"/>
  <c r="E19" i="66"/>
  <c r="E18" i="66"/>
  <c r="E17" i="66"/>
  <c r="E16" i="66"/>
  <c r="E15" i="66"/>
  <c r="E14" i="66"/>
  <c r="E13" i="66"/>
  <c r="E12" i="66"/>
  <c r="E11" i="66"/>
  <c r="E10" i="66"/>
  <c r="E9" i="66"/>
  <c r="E8" i="66"/>
  <c r="E4" i="66"/>
  <c r="E3" i="66"/>
  <c r="D3" i="31"/>
  <c r="F4" i="66" l="1"/>
  <c r="F248" i="65"/>
  <c r="E248" i="65"/>
  <c r="F247" i="65"/>
  <c r="E247" i="65"/>
  <c r="F246" i="65"/>
  <c r="E246" i="65"/>
  <c r="F245" i="65"/>
  <c r="E245" i="65"/>
  <c r="F244" i="65"/>
  <c r="E244" i="65"/>
  <c r="F243" i="65"/>
  <c r="E243" i="65"/>
  <c r="F242" i="65"/>
  <c r="E242" i="65"/>
  <c r="F241" i="65"/>
  <c r="E241" i="65"/>
  <c r="F240" i="65"/>
  <c r="E240" i="65"/>
  <c r="F239" i="65"/>
  <c r="E239" i="65"/>
  <c r="F238" i="65"/>
  <c r="E238" i="65"/>
  <c r="F237" i="65"/>
  <c r="E237" i="65"/>
  <c r="F236" i="65"/>
  <c r="E236" i="65"/>
  <c r="F235" i="65"/>
  <c r="E235" i="65"/>
  <c r="F234" i="65"/>
  <c r="E234" i="65"/>
  <c r="F233" i="65"/>
  <c r="E233" i="65"/>
  <c r="F232" i="65"/>
  <c r="E232" i="65"/>
  <c r="F231" i="65"/>
  <c r="E231" i="65"/>
  <c r="F230" i="65"/>
  <c r="E230" i="65"/>
  <c r="F229" i="65"/>
  <c r="E229" i="65"/>
  <c r="F228" i="65"/>
  <c r="E228" i="65"/>
  <c r="F227" i="65"/>
  <c r="E227" i="65"/>
  <c r="F226" i="65"/>
  <c r="E226" i="65"/>
  <c r="F225" i="65"/>
  <c r="E225" i="65"/>
  <c r="F224" i="65"/>
  <c r="E224" i="65"/>
  <c r="F223" i="65"/>
  <c r="E223" i="65"/>
  <c r="F222" i="65"/>
  <c r="E222" i="65"/>
  <c r="F221" i="65"/>
  <c r="E221" i="65"/>
  <c r="F220" i="65"/>
  <c r="E220" i="65"/>
  <c r="F219" i="65"/>
  <c r="E219" i="65"/>
  <c r="F218" i="65"/>
  <c r="E218" i="65"/>
  <c r="F217" i="65"/>
  <c r="E217" i="65"/>
  <c r="F216" i="65"/>
  <c r="E216" i="65"/>
  <c r="F215" i="65"/>
  <c r="E215" i="65"/>
  <c r="F214" i="65"/>
  <c r="E214" i="65"/>
  <c r="F213" i="65"/>
  <c r="E213" i="65"/>
  <c r="F212" i="65"/>
  <c r="E212" i="65"/>
  <c r="F211" i="65"/>
  <c r="E211" i="65"/>
  <c r="F210" i="65"/>
  <c r="E210" i="65"/>
  <c r="F209" i="65"/>
  <c r="E209" i="65"/>
  <c r="F208" i="65"/>
  <c r="E208" i="65"/>
  <c r="F207" i="65"/>
  <c r="E207" i="65"/>
  <c r="F206" i="65"/>
  <c r="E206" i="65"/>
  <c r="F205" i="65"/>
  <c r="E205" i="65"/>
  <c r="F204" i="65"/>
  <c r="E204" i="65"/>
  <c r="F203" i="65"/>
  <c r="E203" i="65"/>
  <c r="F202" i="65"/>
  <c r="E202" i="65"/>
  <c r="F201" i="65"/>
  <c r="E201" i="65"/>
  <c r="F200" i="65"/>
  <c r="E200" i="65"/>
  <c r="F199" i="65"/>
  <c r="E199" i="65"/>
  <c r="F198" i="65"/>
  <c r="E198" i="65"/>
  <c r="F197" i="65"/>
  <c r="E197" i="65"/>
  <c r="F196" i="65"/>
  <c r="E196" i="65"/>
  <c r="F195" i="65"/>
  <c r="E195" i="65"/>
  <c r="F194" i="65"/>
  <c r="E194" i="65"/>
  <c r="F193" i="65"/>
  <c r="E193" i="65"/>
  <c r="F192" i="65"/>
  <c r="E192" i="65"/>
  <c r="F191" i="65"/>
  <c r="E191" i="65"/>
  <c r="F190" i="65"/>
  <c r="E190" i="65"/>
  <c r="F189" i="65"/>
  <c r="E189" i="65"/>
  <c r="F188" i="65"/>
  <c r="E188" i="65"/>
  <c r="F187" i="65"/>
  <c r="E187" i="65"/>
  <c r="F186" i="65"/>
  <c r="E186" i="65"/>
  <c r="F185" i="65"/>
  <c r="E185" i="65"/>
  <c r="F184" i="65"/>
  <c r="E184" i="65"/>
  <c r="F183" i="65"/>
  <c r="E183" i="65"/>
  <c r="F182" i="65"/>
  <c r="E182" i="65"/>
  <c r="F181" i="65"/>
  <c r="E181" i="65"/>
  <c r="F180" i="65"/>
  <c r="E180" i="65"/>
  <c r="F179" i="65"/>
  <c r="E179" i="65"/>
  <c r="F178" i="65"/>
  <c r="E178" i="65"/>
  <c r="F177" i="65"/>
  <c r="E177" i="65"/>
  <c r="F176" i="65"/>
  <c r="E176" i="65"/>
  <c r="F175" i="65"/>
  <c r="E175" i="65"/>
  <c r="F174" i="65"/>
  <c r="E174" i="65"/>
  <c r="F173" i="65"/>
  <c r="E173" i="65"/>
  <c r="F172" i="65"/>
  <c r="E172" i="65"/>
  <c r="F171" i="65"/>
  <c r="E171" i="65"/>
  <c r="F170" i="65"/>
  <c r="E170" i="65"/>
  <c r="F169" i="65"/>
  <c r="E169" i="65"/>
  <c r="F168" i="65"/>
  <c r="E168" i="65"/>
  <c r="F167" i="65"/>
  <c r="E167" i="65"/>
  <c r="F166" i="65"/>
  <c r="E166" i="65"/>
  <c r="F165" i="65"/>
  <c r="E165" i="65"/>
  <c r="F164" i="65"/>
  <c r="E164" i="65"/>
  <c r="F163" i="65"/>
  <c r="E163" i="65"/>
  <c r="F162" i="65"/>
  <c r="E162" i="65"/>
  <c r="F161" i="65"/>
  <c r="E161" i="65"/>
  <c r="F160" i="65"/>
  <c r="E160" i="65"/>
  <c r="F159" i="65"/>
  <c r="E159" i="65"/>
  <c r="F158" i="65"/>
  <c r="E158" i="65"/>
  <c r="F157" i="65"/>
  <c r="E157" i="65"/>
  <c r="F156" i="65"/>
  <c r="E156" i="65"/>
  <c r="F155" i="65"/>
  <c r="E155" i="65"/>
  <c r="F154" i="65"/>
  <c r="E154" i="65"/>
  <c r="F153" i="65"/>
  <c r="E153" i="65"/>
  <c r="F152" i="65"/>
  <c r="E152" i="65"/>
  <c r="F151" i="65"/>
  <c r="E151" i="65"/>
  <c r="F150" i="65"/>
  <c r="E150" i="65"/>
  <c r="F149" i="65"/>
  <c r="E149" i="65"/>
  <c r="F148" i="65"/>
  <c r="E148" i="65"/>
  <c r="F147" i="65"/>
  <c r="E147" i="65"/>
  <c r="F146" i="65"/>
  <c r="E146" i="65"/>
  <c r="F145" i="65"/>
  <c r="E145" i="65"/>
  <c r="F144" i="65"/>
  <c r="E144" i="65"/>
  <c r="F143" i="65"/>
  <c r="E143" i="65"/>
  <c r="F142" i="65"/>
  <c r="E142" i="65"/>
  <c r="F141" i="65"/>
  <c r="E141" i="65"/>
  <c r="F140" i="65"/>
  <c r="E140" i="65"/>
  <c r="F139" i="65"/>
  <c r="E139" i="65"/>
  <c r="F138" i="65"/>
  <c r="E138" i="65"/>
  <c r="F137" i="65"/>
  <c r="E137" i="65"/>
  <c r="F136" i="65"/>
  <c r="E136" i="65"/>
  <c r="F135" i="65"/>
  <c r="E135" i="65"/>
  <c r="F134" i="65"/>
  <c r="E134" i="65"/>
  <c r="F133" i="65"/>
  <c r="E133" i="65"/>
  <c r="F132" i="65"/>
  <c r="E132" i="65"/>
  <c r="F131" i="65"/>
  <c r="E131" i="65"/>
  <c r="F130" i="65"/>
  <c r="E130" i="65"/>
  <c r="F129" i="65"/>
  <c r="E129" i="65"/>
  <c r="F128" i="65"/>
  <c r="E128" i="65"/>
  <c r="F127" i="65"/>
  <c r="E127" i="65"/>
  <c r="F126" i="65"/>
  <c r="E126" i="65"/>
  <c r="F125" i="65"/>
  <c r="E125" i="65"/>
  <c r="F124" i="65"/>
  <c r="E124" i="65"/>
  <c r="F123" i="65"/>
  <c r="E123" i="65"/>
  <c r="F122" i="65"/>
  <c r="E122" i="65"/>
  <c r="F121" i="65"/>
  <c r="E121" i="65"/>
  <c r="F120" i="65"/>
  <c r="E120" i="65"/>
  <c r="F119" i="65"/>
  <c r="E119" i="65"/>
  <c r="F118" i="65"/>
  <c r="E118" i="65"/>
  <c r="F117" i="65"/>
  <c r="E117" i="65"/>
  <c r="F116" i="65"/>
  <c r="E116" i="65"/>
  <c r="F115" i="65"/>
  <c r="E115" i="65"/>
  <c r="F114" i="65"/>
  <c r="E114" i="65"/>
  <c r="F113" i="65"/>
  <c r="E113" i="65"/>
  <c r="F112" i="65"/>
  <c r="E112" i="65"/>
  <c r="F111" i="65"/>
  <c r="E111" i="65"/>
  <c r="F110" i="65"/>
  <c r="E110" i="65"/>
  <c r="F109" i="65"/>
  <c r="E109" i="65"/>
  <c r="F108" i="65"/>
  <c r="E108" i="65"/>
  <c r="F107" i="65"/>
  <c r="E107" i="65"/>
  <c r="F106" i="65"/>
  <c r="E106" i="65"/>
  <c r="F105" i="65"/>
  <c r="E105" i="65"/>
  <c r="F104" i="65"/>
  <c r="E104" i="65"/>
  <c r="F103" i="65"/>
  <c r="E103" i="65"/>
  <c r="F102" i="65"/>
  <c r="E102" i="65"/>
  <c r="F101" i="65"/>
  <c r="E101" i="65"/>
  <c r="F100" i="65"/>
  <c r="E100" i="65"/>
  <c r="F99" i="65"/>
  <c r="E99" i="65"/>
  <c r="F98" i="65"/>
  <c r="E98" i="65"/>
  <c r="F97" i="65"/>
  <c r="E97" i="65"/>
  <c r="F96" i="65"/>
  <c r="E96" i="65"/>
  <c r="E95" i="65"/>
  <c r="E94" i="65"/>
  <c r="E93" i="65"/>
  <c r="E92" i="65"/>
  <c r="E91" i="65"/>
  <c r="E90" i="65"/>
  <c r="E89" i="65"/>
  <c r="E88" i="65"/>
  <c r="E87" i="65"/>
  <c r="E86" i="65"/>
  <c r="E85" i="65"/>
  <c r="E84" i="65"/>
  <c r="E83" i="65"/>
  <c r="E82" i="65"/>
  <c r="E81" i="65"/>
  <c r="E80" i="65"/>
  <c r="E79" i="65"/>
  <c r="E78" i="65"/>
  <c r="E77" i="65"/>
  <c r="E76" i="65"/>
  <c r="E75" i="65"/>
  <c r="E74" i="65"/>
  <c r="E73" i="65"/>
  <c r="E72" i="65"/>
  <c r="E71" i="65"/>
  <c r="E70" i="65"/>
  <c r="E69" i="65"/>
  <c r="E68" i="65"/>
  <c r="E67" i="65"/>
  <c r="E66" i="65"/>
  <c r="E65" i="65"/>
  <c r="E64" i="65"/>
  <c r="E63" i="65"/>
  <c r="E62" i="65"/>
  <c r="E61" i="65"/>
  <c r="E60" i="65"/>
  <c r="E59" i="65"/>
  <c r="E58" i="65"/>
  <c r="E57" i="65"/>
  <c r="E56" i="65"/>
  <c r="E55" i="65"/>
  <c r="E54" i="65"/>
  <c r="E53" i="65"/>
  <c r="E52" i="65"/>
  <c r="B9" i="31" l="1"/>
  <c r="E50" i="65" l="1"/>
  <c r="E42" i="65"/>
  <c r="E34" i="65"/>
  <c r="E26" i="65"/>
  <c r="E18" i="65"/>
  <c r="E10" i="65"/>
  <c r="E41" i="65"/>
  <c r="E25" i="65"/>
  <c r="E17" i="65"/>
  <c r="E40" i="65"/>
  <c r="E16" i="65"/>
  <c r="E47" i="65"/>
  <c r="E15" i="65"/>
  <c r="E30" i="65"/>
  <c r="E45" i="65"/>
  <c r="E35" i="65"/>
  <c r="E49" i="65"/>
  <c r="E33" i="65"/>
  <c r="E9" i="65"/>
  <c r="E48" i="65"/>
  <c r="E24" i="65"/>
  <c r="E8" i="65"/>
  <c r="E39" i="65"/>
  <c r="E22" i="65"/>
  <c r="E21" i="65"/>
  <c r="E32" i="65"/>
  <c r="E23" i="65"/>
  <c r="E14" i="65"/>
  <c r="E12" i="65"/>
  <c r="E43" i="65"/>
  <c r="E19" i="65"/>
  <c r="E31" i="65"/>
  <c r="E38" i="65"/>
  <c r="E37" i="65"/>
  <c r="E46" i="65"/>
  <c r="E29" i="65"/>
  <c r="E27" i="65"/>
  <c r="E13" i="65"/>
  <c r="E44" i="65"/>
  <c r="E36" i="65"/>
  <c r="E28" i="65"/>
  <c r="E20" i="65"/>
  <c r="E51" i="65"/>
  <c r="E11" i="65"/>
  <c r="E3" i="65"/>
  <c r="E4" i="65"/>
  <c r="B7" i="31"/>
  <c r="B4" i="31"/>
  <c r="F92" i="65" l="1"/>
  <c r="F89" i="65"/>
  <c r="F93" i="65"/>
  <c r="F95" i="65"/>
  <c r="F90" i="65"/>
  <c r="F94" i="65"/>
  <c r="F91" i="65"/>
  <c r="F84" i="65"/>
  <c r="F56" i="65"/>
  <c r="F61" i="65"/>
  <c r="F88" i="65"/>
  <c r="F78" i="65"/>
  <c r="F55" i="65"/>
  <c r="F64" i="65"/>
  <c r="F60" i="65"/>
  <c r="F63" i="65"/>
  <c r="F58" i="65"/>
  <c r="F74" i="65"/>
  <c r="F62" i="65"/>
  <c r="F87" i="65"/>
  <c r="F67" i="65"/>
  <c r="F76" i="65"/>
  <c r="F86" i="65"/>
  <c r="F65" i="65"/>
  <c r="F53" i="65"/>
  <c r="F70" i="65"/>
  <c r="F85" i="65"/>
  <c r="F72" i="65"/>
  <c r="F52" i="65"/>
  <c r="F75" i="65"/>
  <c r="F81" i="65"/>
  <c r="F71" i="65"/>
  <c r="F54" i="65"/>
  <c r="F66" i="65"/>
  <c r="F82" i="65"/>
  <c r="F69" i="65"/>
  <c r="F68" i="65"/>
  <c r="F83" i="65"/>
  <c r="F80" i="65"/>
  <c r="F79" i="65"/>
  <c r="F73" i="65"/>
  <c r="F59" i="65"/>
  <c r="F77" i="65"/>
  <c r="F57" i="65"/>
  <c r="F51" i="65"/>
  <c r="F21" i="65"/>
  <c r="F41" i="65"/>
  <c r="F49" i="65"/>
  <c r="F17" i="65"/>
  <c r="F35" i="65"/>
  <c r="F40" i="65"/>
  <c r="F48" i="65"/>
  <c r="F29" i="65"/>
  <c r="F47" i="65"/>
  <c r="F12" i="65"/>
  <c r="F42" i="65"/>
  <c r="F39" i="65"/>
  <c r="F33" i="65"/>
  <c r="F25" i="65"/>
  <c r="F19" i="65"/>
  <c r="F46" i="65"/>
  <c r="F50" i="65"/>
  <c r="F43" i="65"/>
  <c r="F23" i="65"/>
  <c r="F8" i="65"/>
  <c r="F11" i="65"/>
  <c r="F26" i="65"/>
  <c r="F13" i="65"/>
  <c r="F10" i="65"/>
  <c r="F18" i="65"/>
  <c r="F16" i="65"/>
  <c r="F30" i="65"/>
  <c r="F24" i="65"/>
  <c r="F20" i="65"/>
  <c r="F22" i="65"/>
  <c r="F15" i="65"/>
  <c r="F45" i="65"/>
  <c r="F37" i="65"/>
  <c r="F31" i="65"/>
  <c r="F27" i="65"/>
  <c r="F28" i="65"/>
  <c r="F14" i="65"/>
  <c r="F9" i="65"/>
  <c r="F38" i="65"/>
  <c r="F34" i="65"/>
  <c r="F32" i="65"/>
  <c r="F36" i="65"/>
  <c r="F44" i="65"/>
  <c r="F4" i="65"/>
</calcChain>
</file>

<file path=xl/connections.xml><?xml version="1.0" encoding="utf-8"?>
<connections xmlns="http://schemas.openxmlformats.org/spreadsheetml/2006/main">
  <connection id="1" name="flight_data_raw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" name="flight_data_raw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" name="flight_data_raw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" name="flight_data_raw1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" name="flight_data_raw1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" name="flight_data_raw1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" name="flight_data_raw1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" name="flight_data_raw1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" name="flight_data_raw10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" name="flight_data_raw10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" name="flight_data_raw1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" name="flight_data_raw1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" name="flight_data_raw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" name="flight_data_raw1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" name="flight_data_raw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" name="flight_data_raw11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" name="flight_data_raw11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" name="flight_data_raw11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" name="flight_data_raw11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" name="flight_data_raw11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" name="flight_data_raw11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" name="flight_data_raw1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" name="flight_data_raw1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" name="flight_data_raw11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" name="flight_data_raw11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" name="flight_data_raw113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" name="flight_data_raw113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" name="flight_data_raw11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" name="flight_data_raw11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" name="flight_data_raw11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" name="flight_data_raw11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" name="flight_data_raw1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" name="flight_data_raw1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" name="flight_data_raw1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" name="flight_data_raw1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" name="flight_data_raw1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" name="flight_data_raw1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" name="flight_data_raw12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" name="flight_data_raw12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" name="flight_data_raw1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" name="flight_data_raw1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" name="flight_data_raw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" name="flight_data_raw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" name="flight_data_raw1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" name="flight_data_raw1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" name="flight_data_raw1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" name="flight_data_raw1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" name="flight_data_raw13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" name="flight_data_raw13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" name="flight_data_raw1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" name="flight_data_raw1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" name="flight_data_raw1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" name="flight_data_raw1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" name="flight_data_raw1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" name="flight_data_raw1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" name="flight_data_raw1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" name="flight_data_raw14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" name="flight_data_raw14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" name="flight_data_raw14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" name="flight_data_raw1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" name="flight_data_raw1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" name="flight_data_raw1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" name="flight_data_raw1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" name="flight_data_raw1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" name="flight_data_raw1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" name="flight_data_raw15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7" name="flight_data_raw15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8" name="flight_data_raw15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9" name="flight_data_raw15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0" name="flight_data_raw1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1" name="flight_data_raw1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2" name="flight_data_raw1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3" name="flight_data_raw1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4" name="flight_data_raw1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5" name="flight_data_raw16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6" name="flight_data_raw16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7" name="flight_data_raw16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8" name="flight_data_raw16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9" name="flight_data_raw16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0" name="flight_data_raw16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1" name="flight_data_raw16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2" name="flight_data_raw1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3" name="flight_data_raw1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4" name="flight_data_raw1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5" name="flight_data_raw1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6" name="flight_data_raw1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7" name="flight_data_raw1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8" name="flight_data_raw17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89" name="flight_data_raw17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0" name="flight_data_raw1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1" name="flight_data_raw1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2" name="flight_data_raw1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3" name="flight_data_raw1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4" name="flight_data_raw1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5" name="flight_data_raw1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6" name="flight_data_raw1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7" name="flight_data_raw1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8" name="flight_data_raw18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99" name="flight_data_raw18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0" name="flight_data_raw1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1" name="flight_data_raw1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2" name="flight_data_raw1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3" name="flight_data_raw1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4" name="flight_data_raw1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5" name="flight_data_raw1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6" name="flight_data_raw1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7" name="flight_data_raw1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8" name="flight_data_raw19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09" name="flight_data_raw19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0" name="flight_data_raw1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1" name="flight_data_raw1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2" name="flight_data_raw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3" name="flight_data_raw2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4" name="flight_data_raw2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5" name="flight_data_raw2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6" name="flight_data_raw2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7" name="flight_data_raw2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8" name="flight_data_raw2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19" name="flight_data_raw20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0" name="flight_data_raw20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1" name="flight_data_raw2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2" name="flight_data_raw2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3" name="flight_data_raw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4" name="flight_data_raw2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5" name="flight_data_raw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6" name="flight_data_raw21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7" name="flight_data_raw21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8" name="flight_data_raw21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29" name="flight_data_raw21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0" name="flight_data_raw21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1" name="flight_data_raw21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2" name="flight_data_raw2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3" name="flight_data_raw2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4" name="flight_data_raw21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5" name="flight_data_raw21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6" name="flight_data_raw213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7" name="flight_data_raw213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8" name="flight_data_raw21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39" name="flight_data_raw21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0" name="flight_data_raw21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1" name="flight_data_raw21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2" name="flight_data_raw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3" name="flight_data_raw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4" name="flight_data_raw2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5" name="flight_data_raw2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6" name="flight_data_raw2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7" name="flight_data_raw2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8" name="flight_data_raw22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9" name="flight_data_raw22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0" name="flight_data_raw2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1" name="flight_data_raw2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2" name="flight_data_raw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3" name="flight_data_raw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4" name="flight_data_raw2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5" name="flight_data_raw2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6" name="flight_data_raw2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7" name="flight_data_raw2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8" name="flight_data_raw23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59" name="flight_data_raw23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0" name="flight_data_raw2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1" name="flight_data_raw2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2" name="flight_data_raw2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3" name="flight_data_raw2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4" name="flight_data_raw2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5" name="flight_data_raw2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6" name="flight_data_raw2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7" name="flight_data_raw24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8" name="flight_data_raw24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69" name="flight_data_raw24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0" name="flight_data_raw2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1" name="flight_data_raw2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2" name="flight_data_raw2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3" name="flight_data_raw2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4" name="flight_data_raw2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5" name="flight_data_raw2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6" name="flight_data_raw25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7" name="flight_data_raw25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8" name="flight_data_raw25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9" name="flight_data_raw25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0" name="flight_data_raw2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1" name="flight_data_raw2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2" name="flight_data_raw2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3" name="flight_data_raw2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4" name="flight_data_raw2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5" name="flight_data_raw26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6" name="flight_data_raw26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7" name="flight_data_raw26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8" name="flight_data_raw26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89" name="flight_data_raw26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0" name="flight_data_raw26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1" name="flight_data_raw26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2" name="flight_data_raw2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3" name="flight_data_raw2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4" name="flight_data_raw2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5" name="flight_data_raw2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6" name="flight_data_raw2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7" name="flight_data_raw2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8" name="flight_data_raw27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99" name="flight_data_raw27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0" name="flight_data_raw2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1" name="flight_data_raw2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2" name="flight_data_raw2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3" name="flight_data_raw2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4" name="flight_data_raw2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5" name="flight_data_raw2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6" name="flight_data_raw2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7" name="flight_data_raw2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8" name="flight_data_raw28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09" name="flight_data_raw28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0" name="flight_data_raw2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1" name="flight_data_raw2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2" name="flight_data_raw2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3" name="flight_data_raw2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4" name="flight_data_raw2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5" name="flight_data_raw2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6" name="flight_data_raw2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7" name="flight_data_raw2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8" name="flight_data_raw29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19" name="flight_data_raw29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0" name="flight_data_raw2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1" name="flight_data_raw2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2" name="flight_data_raw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3" name="flight_data_raw3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4" name="flight_data_raw3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5" name="flight_data_raw3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6" name="flight_data_raw3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7" name="flight_data_raw3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8" name="flight_data_raw3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29" name="flight_data_raw30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0" name="flight_data_raw30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1" name="flight_data_raw3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2" name="flight_data_raw3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3" name="flight_data_raw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4" name="flight_data_raw3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5" name="flight_data_raw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6" name="flight_data_raw31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7" name="flight_data_raw31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8" name="flight_data_raw31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39" name="flight_data_raw31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0" name="flight_data_raw31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1" name="flight_data_raw31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2" name="flight_data_raw3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3" name="flight_data_raw3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4" name="flight_data_raw31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5" name="flight_data_raw31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6" name="flight_data_raw313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7" name="flight_data_raw313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8" name="flight_data_raw31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49" name="flight_data_raw31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0" name="flight_data_raw31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1" name="flight_data_raw31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2" name="flight_data_raw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3" name="flight_data_raw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4" name="flight_data_raw3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5" name="flight_data_raw3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6" name="flight_data_raw3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7" name="flight_data_raw3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8" name="flight_data_raw32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9" name="flight_data_raw32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0" name="flight_data_raw3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1" name="flight_data_raw3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2" name="flight_data_raw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3" name="flight_data_raw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4" name="flight_data_raw3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5" name="flight_data_raw3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6" name="flight_data_raw3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7" name="flight_data_raw3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8" name="flight_data_raw33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69" name="flight_data_raw33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0" name="flight_data_raw3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1" name="flight_data_raw3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2" name="flight_data_raw3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3" name="flight_data_raw3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4" name="flight_data_raw3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5" name="flight_data_raw3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6" name="flight_data_raw3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7" name="flight_data_raw34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8" name="flight_data_raw34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79" name="flight_data_raw34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0" name="flight_data_raw3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1" name="flight_data_raw3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2" name="flight_data_raw3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3" name="flight_data_raw3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4" name="flight_data_raw3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5" name="flight_data_raw3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6" name="flight_data_raw35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7" name="flight_data_raw35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8" name="flight_data_raw35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89" name="flight_data_raw35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0" name="flight_data_raw3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1" name="flight_data_raw3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2" name="flight_data_raw3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3" name="flight_data_raw3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4" name="flight_data_raw3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5" name="flight_data_raw36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6" name="flight_data_raw36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7" name="flight_data_raw36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8" name="flight_data_raw36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99" name="flight_data_raw36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0" name="flight_data_raw36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1" name="flight_data_raw36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2" name="flight_data_raw3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3" name="flight_data_raw3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4" name="flight_data_raw3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5" name="flight_data_raw3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6" name="flight_data_raw3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7" name="flight_data_raw3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8" name="flight_data_raw37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09" name="flight_data_raw37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0" name="flight_data_raw3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1" name="flight_data_raw3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2" name="flight_data_raw3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3" name="flight_data_raw3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4" name="flight_data_raw3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5" name="flight_data_raw3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6" name="flight_data_raw3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7" name="flight_data_raw3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8" name="flight_data_raw38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19" name="flight_data_raw38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0" name="flight_data_raw3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1" name="flight_data_raw3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2" name="flight_data_raw3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3" name="flight_data_raw3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4" name="flight_data_raw3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5" name="flight_data_raw3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6" name="flight_data_raw3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7" name="flight_data_raw3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8" name="flight_data_raw39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29" name="flight_data_raw39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0" name="flight_data_raw3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1" name="flight_data_raw3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2" name="flight_data_raw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3" name="flight_data_raw4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4" name="flight_data_raw4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5" name="flight_data_raw4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6" name="flight_data_raw4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7" name="flight_data_raw4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8" name="flight_data_raw4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9" name="flight_data_raw40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0" name="flight_data_raw40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1" name="flight_data_raw4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2" name="flight_data_raw4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3" name="flight_data_raw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4" name="flight_data_raw4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5" name="flight_data_raw4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6" name="flight_data_raw41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7" name="flight_data_raw41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8" name="flight_data_raw41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49" name="flight_data_raw41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0" name="flight_data_raw41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1" name="flight_data_raw41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2" name="flight_data_raw4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3" name="flight_data_raw4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4" name="flight_data_raw41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5" name="flight_data_raw41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6" name="flight_data_raw413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7" name="flight_data_raw413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8" name="flight_data_raw41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9" name="flight_data_raw41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0" name="flight_data_raw41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1" name="flight_data_raw41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2" name="flight_data_raw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3" name="flight_data_raw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4" name="flight_data_raw4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5" name="flight_data_raw4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6" name="flight_data_raw4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7" name="flight_data_raw4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8" name="flight_data_raw42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69" name="flight_data_raw42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0" name="flight_data_raw4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1" name="flight_data_raw4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2" name="flight_data_raw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3" name="flight_data_raw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4" name="flight_data_raw4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5" name="flight_data_raw4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6" name="flight_data_raw4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7" name="flight_data_raw4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8" name="flight_data_raw43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9" name="flight_data_raw43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0" name="flight_data_raw4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1" name="flight_data_raw4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2" name="flight_data_raw4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3" name="flight_data_raw4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4" name="flight_data_raw4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5" name="flight_data_raw4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6" name="flight_data_raw4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7" name="flight_data_raw44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8" name="flight_data_raw44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89" name="flight_data_raw44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0" name="flight_data_raw4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1" name="flight_data_raw4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2" name="flight_data_raw4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3" name="flight_data_raw4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4" name="flight_data_raw4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5" name="flight_data_raw4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6" name="flight_data_raw45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7" name="flight_data_raw45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8" name="flight_data_raw45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9" name="flight_data_raw45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0" name="flight_data_raw4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1" name="flight_data_raw4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2" name="flight_data_raw4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3" name="flight_data_raw4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4" name="flight_data_raw4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5" name="flight_data_raw46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6" name="flight_data_raw46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7" name="flight_data_raw46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8" name="flight_data_raw46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09" name="flight_data_raw46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0" name="flight_data_raw46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1" name="flight_data_raw46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2" name="flight_data_raw4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3" name="flight_data_raw4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4" name="flight_data_raw4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5" name="flight_data_raw4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6" name="flight_data_raw4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7" name="flight_data_raw4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8" name="flight_data_raw47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19" name="flight_data_raw47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0" name="flight_data_raw4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1" name="flight_data_raw4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2" name="flight_data_raw4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3" name="flight_data_raw4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4" name="flight_data_raw4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5" name="flight_data_raw4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6" name="flight_data_raw4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7" name="flight_data_raw4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8" name="flight_data_raw48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29" name="flight_data_raw48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0" name="flight_data_raw4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1" name="flight_data_raw4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2" name="flight_data_raw4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3" name="flight_data_raw4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4" name="flight_data_raw4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5" name="flight_data_raw4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6" name="flight_data_raw4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7" name="flight_data_raw4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8" name="flight_data_raw49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39" name="flight_data_raw49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0" name="flight_data_raw4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1" name="flight_data_raw4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2" name="flight_data_raw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3" name="flight_data_raw5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4" name="flight_data_raw5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5" name="flight_data_raw5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6" name="flight_data_raw5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7" name="flight_data_raw50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8" name="flight_data_raw50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49" name="flight_data_raw50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0" name="flight_data_raw50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1" name="flight_data_raw50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2" name="flight_data_raw50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3" name="flight_data_raw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4" name="flight_data_raw5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5" name="flight_data_raw51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6" name="flight_data_raw510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7" name="flight_data_raw510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8" name="flight_data_raw510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9" name="flight_data_raw510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0" name="flight_data_raw5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1" name="flight_data_raw51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2" name="flight_data_raw51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3" name="flight_data_raw51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4" name="flight_data_raw51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5" name="flight_data_raw51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6" name="flight_data_raw51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7" name="flight_data_raw51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8" name="flight_data_raw51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9" name="flight_data_raw51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0" name="flight_data_raw51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1" name="flight_data_raw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2" name="flight_data_raw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3" name="flight_data_raw5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4" name="flight_data_raw52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5" name="flight_data_raw52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6" name="flight_data_raw52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7" name="flight_data_raw52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8" name="flight_data_raw52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79" name="flight_data_raw52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0" name="flight_data_raw52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1" name="flight_data_raw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2" name="flight_data_raw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3" name="flight_data_raw5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4" name="flight_data_raw5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5" name="flight_data_raw53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6" name="flight_data_raw53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7" name="flight_data_raw53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8" name="flight_data_raw53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89" name="flight_data_raw53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0" name="flight_data_raw53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1" name="flight_data_raw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2" name="flight_data_raw5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3" name="flight_data_raw5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4" name="flight_data_raw5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5" name="flight_data_raw54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6" name="flight_data_raw54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7" name="flight_data_raw54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8" name="flight_data_raw54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99" name="flight_data_raw54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0" name="flight_data_raw54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1" name="flight_data_raw5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2" name="flight_data_raw5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3" name="flight_data_raw5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4" name="flight_data_raw5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5" name="flight_data_raw55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6" name="flight_data_raw55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7" name="flight_data_raw55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8" name="flight_data_raw55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09" name="flight_data_raw5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0" name="flight_data_raw55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1" name="flight_data_raw5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2" name="flight_data_raw5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3" name="flight_data_raw5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4" name="flight_data_raw56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5" name="flight_data_raw56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6" name="flight_data_raw56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7" name="flight_data_raw56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8" name="flight_data_raw56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9" name="flight_data_raw56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0" name="flight_data_raw56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1" name="flight_data_raw5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2" name="flight_data_raw5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3" name="flight_data_raw5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4" name="flight_data_raw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5" name="flight_data_raw6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6" name="flight_data_raw6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7" name="flight_data_raw60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8" name="flight_data_raw60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9" name="flight_data_raw60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0" name="flight_data_raw60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1" name="flight_data_raw60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2" name="flight_data_raw60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3" name="flight_data_raw60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4" name="flight_data_raw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5" name="flight_data_raw6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6" name="flight_data_raw61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7" name="flight_data_raw610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8" name="flight_data_raw610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9" name="flight_data_raw610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0" name="flight_data_raw610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1" name="flight_data_raw6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2" name="flight_data_raw6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3" name="flight_data_raw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4" name="flight_data_raw6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5" name="flight_data_raw6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6" name="flight_data_raw6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7" name="flight_data_raw6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8" name="flight_data_raw63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49" name="flight_data_raw63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0" name="flight_data_raw63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1" name="flight_data_raw63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2" name="flight_data_raw63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3" name="flight_data_raw6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4" name="flight_data_raw6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5" name="flight_data_raw64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6" name="flight_data_raw64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7" name="flight_data_raw64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8" name="flight_data_raw64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59" name="flight_data_raw64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0" name="flight_data_raw6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1" name="flight_data_raw64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2" name="flight_data_raw6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3" name="flight_data_raw6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4" name="flight_data_raw65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5" name="flight_data_raw65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6" name="flight_data_raw65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7" name="flight_data_raw65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8" name="flight_data_raw65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69" name="flight_data_raw65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0" name="flight_data_raw65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1" name="flight_data_raw6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2" name="flight_data_raw66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3" name="flight_data_raw66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4" name="flight_data_raw66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5" name="flight_data_raw66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6" name="flight_data_raw66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7" name="flight_data_raw66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8" name="flight_data_raw66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79" name="flight_data_raw66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0" name="flight_data_raw6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1" name="flight_data_raw6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2" name="flight_data_raw67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3" name="flight_data_raw67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4" name="flight_data_raw67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5" name="flight_data_raw67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6" name="flight_data_raw67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7" name="flight_data_raw6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8" name="flight_data_raw6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89" name="flight_data_raw6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0" name="flight_data_raw6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1" name="flight_data_raw68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2" name="flight_data_raw68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3" name="flight_data_raw68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4" name="flight_data_raw68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5" name="flight_data_raw681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6" name="flight_data_raw6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7" name="flight_data_raw6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8" name="flight_data_raw6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9" name="flight_data_raw6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0" name="flight_data_raw69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1" name="flight_data_raw69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2" name="flight_data_raw69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3" name="flight_data_raw69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4" name="flight_data_raw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5" name="flight_data_raw7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6" name="flight_data_raw7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7" name="flight_data_raw70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8" name="flight_data_raw70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09" name="flight_data_raw70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0" name="flight_data_raw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1" name="flight_data_raw71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2" name="flight_data_raw71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3" name="flight_data_raw7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4" name="flight_data_raw7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5" name="flight_data_raw7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6" name="flight_data_raw7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7" name="flight_data_raw7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8" name="flight_data_raw7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19" name="flight_data_raw7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0" name="flight_data_raw7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1" name="flight_data_raw73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2" name="flight_data_raw73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3" name="flight_data_raw7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4" name="flight_data_raw7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5" name="flight_data_raw74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6" name="flight_data_raw7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7" name="flight_data_raw7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8" name="flight_data_raw7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29" name="flight_data_raw77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0" name="flight_data_raw77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1" name="flight_data_raw7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2" name="flight_data_raw7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3" name="flight_data_raw78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4" name="flight_data_raw7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5" name="flight_data_raw7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6" name="flight_data_raw79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7" name="flight_data_raw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8" name="flight_data_raw8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39" name="flight_data_raw80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0" name="flight_data_raw8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1" name="flight_data_raw8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2" name="flight_data_raw8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3" name="flight_data_raw8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4" name="flight_data_raw8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5" name="flight_data_raw8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6" name="flight_data_raw8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7" name="flight_data_raw8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8" name="flight_data_raw8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49" name="flight_data_raw8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0" name="flight_data_raw84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1" name="flight_data_raw84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2" name="flight_data_raw8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3" name="flight_data_raw85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4" name="flight_data_raw86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5" name="flight_data_raw8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6" name="flight_data_raw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7" name="flight_data_raw9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8" name="flight_data_raw9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59" name="flight_data_raw92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0" name="flight_data_raw92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1" name="flight_data_raw92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2" name="flight_data_raw92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3" name="flight_data_raw921111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4" name="flight_data_raw9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5" name="flight_data_raw93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66" name="flight_data_true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7" name="flight_data_true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8" name="flight_data_true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69" name="flight_data_true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0" name="flight_data_true1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1" name="flight_data_true1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2" name="flight_data_true1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3" name="flight_data_true1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4" name="flight_data_true10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5" name="flight_data_true10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6" name="flight_data_true1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7" name="flight_data_true1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8" name="flight_data_true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79" name="flight_data_true1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0" name="flight_data_true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1" name="flight_data_true1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2" name="flight_data_true1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3" name="flight_data_true1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4" name="flight_data_true1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5" name="flight_data_true11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6" name="flight_data_true11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7" name="flight_data_true1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8" name="flight_data_true1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89" name="flight_data_true1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0" name="flight_data_true1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1" name="flight_data_true113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2" name="flight_data_true113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3" name="flight_data_true1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4" name="flight_data_true1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5" name="flight_data_true1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6" name="flight_data_true1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7" name="flight_data_true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8" name="flight_data_true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699" name="flight_data_true1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0" name="flight_data_true1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1" name="flight_data_true1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2" name="flight_data_true1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3" name="flight_data_true12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4" name="flight_data_true12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5" name="flight_data_true1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6" name="flight_data_true1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7" name="flight_data_true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8" name="flight_data_true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09" name="flight_data_true1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0" name="flight_data_true1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1" name="flight_data_true1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2" name="flight_data_true1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3" name="flight_data_true13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4" name="flight_data_true13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5" name="flight_data_true1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6" name="flight_data_true1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7" name="flight_data_true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8" name="flight_data_true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19" name="flight_data_true1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0" name="flight_data_true1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1" name="flight_data_true1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2" name="flight_data_true1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3" name="flight_data_true14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4" name="flight_data_true14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5" name="flight_data_true1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6" name="flight_data_true1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7" name="flight_data_true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8" name="flight_data_true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29" name="flight_data_true1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0" name="flight_data_true1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1" name="flight_data_true1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2" name="flight_data_true1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3" name="flight_data_true15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4" name="flight_data_true15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5" name="flight_data_true1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6" name="flight_data_true1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7" name="flight_data_true1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8" name="flight_data_true1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39" name="flight_data_true1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0" name="flight_data_true1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1" name="flight_data_true1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2" name="flight_data_true1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3" name="flight_data_true16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4" name="flight_data_true16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5" name="flight_data_true1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6" name="flight_data_true1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7" name="flight_data_true1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8" name="flight_data_true1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49" name="flight_data_true1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0" name="flight_data_true1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1" name="flight_data_true1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2" name="flight_data_true1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3" name="flight_data_true17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4" name="flight_data_true17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5" name="flight_data_true1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6" name="flight_data_true1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7" name="flight_data_true1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8" name="flight_data_true1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59" name="flight_data_true1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0" name="flight_data_true1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1" name="flight_data_true1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2" name="flight_data_true1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3" name="flight_data_true18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4" name="flight_data_true18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5" name="flight_data_true1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6" name="flight_data_true1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7" name="flight_data_true1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8" name="flight_data_true1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69" name="flight_data_true1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0" name="flight_data_true1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1" name="flight_data_true1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2" name="flight_data_true1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3" name="flight_data_true19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4" name="flight_data_true19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5" name="flight_data_true1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6" name="flight_data_true1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7" name="flight_data_true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8" name="flight_data_true2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79" name="flight_data_true2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0" name="flight_data_true2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1" name="flight_data_true2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2" name="flight_data_true2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3" name="flight_data_true2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4" name="flight_data_true20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5" name="flight_data_true20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6" name="flight_data_true2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7" name="flight_data_true2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8" name="flight_data_true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89" name="flight_data_true2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0" name="flight_data_true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1" name="flight_data_true2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2" name="flight_data_true2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3" name="flight_data_true2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4" name="flight_data_true2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5" name="flight_data_true21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6" name="flight_data_true21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7" name="flight_data_true2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8" name="flight_data_true2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799" name="flight_data_true2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0" name="flight_data_true2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1" name="flight_data_true213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2" name="flight_data_true213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3" name="flight_data_true2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4" name="flight_data_true2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5" name="flight_data_true2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6" name="flight_data_true2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7" name="flight_data_true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8" name="flight_data_true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9" name="flight_data_true2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0" name="flight_data_true2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1" name="flight_data_true2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2" name="flight_data_true2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3" name="flight_data_true22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4" name="flight_data_true22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5" name="flight_data_true2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6" name="flight_data_true2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7" name="flight_data_true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8" name="flight_data_true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9" name="flight_data_true2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0" name="flight_data_true2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1" name="flight_data_true2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2" name="flight_data_true2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3" name="flight_data_true23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4" name="flight_data_true23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5" name="flight_data_true2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6" name="flight_data_true2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7" name="flight_data_true2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8" name="flight_data_true2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9" name="flight_data_true2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0" name="flight_data_true2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1" name="flight_data_true2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2" name="flight_data_true2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3" name="flight_data_true24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4" name="flight_data_true24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5" name="flight_data_true2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6" name="flight_data_true2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7" name="flight_data_true2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8" name="flight_data_true2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39" name="flight_data_true2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0" name="flight_data_true2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1" name="flight_data_true2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2" name="flight_data_true2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3" name="flight_data_true25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4" name="flight_data_true25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5" name="flight_data_true2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6" name="flight_data_true2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7" name="flight_data_true2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8" name="flight_data_true2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49" name="flight_data_true2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0" name="flight_data_true2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1" name="flight_data_true2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2" name="flight_data_true2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3" name="flight_data_true26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4" name="flight_data_true26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5" name="flight_data_true2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6" name="flight_data_true2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7" name="flight_data_true2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8" name="flight_data_true2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59" name="flight_data_true2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0" name="flight_data_true2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1" name="flight_data_true2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2" name="flight_data_true2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3" name="flight_data_true27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4" name="flight_data_true27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5" name="flight_data_true2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6" name="flight_data_true2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7" name="flight_data_true2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8" name="flight_data_true2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69" name="flight_data_true2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0" name="flight_data_true2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1" name="flight_data_true2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2" name="flight_data_true2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3" name="flight_data_true28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4" name="flight_data_true28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5" name="flight_data_true2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6" name="flight_data_true2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7" name="flight_data_true2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8" name="flight_data_true2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79" name="flight_data_true2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0" name="flight_data_true2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1" name="flight_data_true2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2" name="flight_data_true2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3" name="flight_data_true29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4" name="flight_data_true29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5" name="flight_data_true2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6" name="flight_data_true2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7" name="flight_data_true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8" name="flight_data_true3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89" name="flight_data_true3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0" name="flight_data_true3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1" name="flight_data_true3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2" name="flight_data_true3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3" name="flight_data_true3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4" name="flight_data_true30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5" name="flight_data_true30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6" name="flight_data_true3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7" name="flight_data_true3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8" name="flight_data_true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99" name="flight_data_true3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0" name="flight_data_true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1" name="flight_data_true3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2" name="flight_data_true3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3" name="flight_data_true3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4" name="flight_data_true3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5" name="flight_data_true31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6" name="flight_data_true31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7" name="flight_data_true3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8" name="flight_data_true3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09" name="flight_data_true3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0" name="flight_data_true3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1" name="flight_data_true313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2" name="flight_data_true313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3" name="flight_data_true3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4" name="flight_data_true3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5" name="flight_data_true3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6" name="flight_data_true3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7" name="flight_data_true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8" name="flight_data_true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19" name="flight_data_true3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0" name="flight_data_true3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1" name="flight_data_true3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2" name="flight_data_true3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3" name="flight_data_true32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4" name="flight_data_true32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5" name="flight_data_true3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6" name="flight_data_true3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7" name="flight_data_true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8" name="flight_data_true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29" name="flight_data_true3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0" name="flight_data_true3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1" name="flight_data_true3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2" name="flight_data_true3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3" name="flight_data_true33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4" name="flight_data_true33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5" name="flight_data_true3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6" name="flight_data_true3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7" name="flight_data_true3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8" name="flight_data_true3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9" name="flight_data_true3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0" name="flight_data_true3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1" name="flight_data_true3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2" name="flight_data_true3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3" name="flight_data_true34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4" name="flight_data_true34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5" name="flight_data_true3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6" name="flight_data_true3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7" name="flight_data_true3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8" name="flight_data_true3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49" name="flight_data_true3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0" name="flight_data_true3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1" name="flight_data_true3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2" name="flight_data_true3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3" name="flight_data_true35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4" name="flight_data_true35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5" name="flight_data_true3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6" name="flight_data_true3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7" name="flight_data_true3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8" name="flight_data_true3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59" name="flight_data_true3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0" name="flight_data_true3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1" name="flight_data_true3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2" name="flight_data_true3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3" name="flight_data_true36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4" name="flight_data_true36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5" name="flight_data_true3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6" name="flight_data_true3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7" name="flight_data_true3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8" name="flight_data_true3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69" name="flight_data_true3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0" name="flight_data_true3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1" name="flight_data_true3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2" name="flight_data_true3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3" name="flight_data_true37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4" name="flight_data_true37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5" name="flight_data_true3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6" name="flight_data_true3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7" name="flight_data_true3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8" name="flight_data_true3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79" name="flight_data_true3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0" name="flight_data_true3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1" name="flight_data_true3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2" name="flight_data_true3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3" name="flight_data_true38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4" name="flight_data_true38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5" name="flight_data_true3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6" name="flight_data_true3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7" name="flight_data_true3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8" name="flight_data_true3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89" name="flight_data_true3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0" name="flight_data_true3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1" name="flight_data_true3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2" name="flight_data_true3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3" name="flight_data_true39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4" name="flight_data_true39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5" name="flight_data_true3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6" name="flight_data_true3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7" name="flight_data_true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8" name="flight_data_true4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99" name="flight_data_true4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0" name="flight_data_true4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1" name="flight_data_true4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2" name="flight_data_true4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3" name="flight_data_true4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4" name="flight_data_true40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5" name="flight_data_true40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6" name="flight_data_true4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7" name="flight_data_true4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8" name="flight_data_true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9" name="flight_data_true4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0" name="flight_data_true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1" name="flight_data_true4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2" name="flight_data_true4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3" name="flight_data_true4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4" name="flight_data_true4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5" name="flight_data_true41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6" name="flight_data_true41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7" name="flight_data_true4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8" name="flight_data_true4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9" name="flight_data_true41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0" name="flight_data_true41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1" name="flight_data_true413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2" name="flight_data_true413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3" name="flight_data_true4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4" name="flight_data_true4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5" name="flight_data_true4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6" name="flight_data_true41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7" name="flight_data_true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8" name="flight_data_true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9" name="flight_data_true4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0" name="flight_data_true4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1" name="flight_data_true4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2" name="flight_data_true4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3" name="flight_data_true42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4" name="flight_data_true42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5" name="flight_data_true4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6" name="flight_data_true4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7" name="flight_data_true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8" name="flight_data_true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39" name="flight_data_true4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0" name="flight_data_true4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1" name="flight_data_true4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2" name="flight_data_true4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3" name="flight_data_true43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4" name="flight_data_true43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5" name="flight_data_true4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6" name="flight_data_true4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7" name="flight_data_true4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8" name="flight_data_true4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9" name="flight_data_true4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0" name="flight_data_true4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1" name="flight_data_true4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2" name="flight_data_true4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3" name="flight_data_true44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4" name="flight_data_true44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5" name="flight_data_true4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6" name="flight_data_true4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7" name="flight_data_true4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8" name="flight_data_true4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59" name="flight_data_true4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0" name="flight_data_true4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1" name="flight_data_true4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2" name="flight_data_true4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3" name="flight_data_true45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4" name="flight_data_true45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5" name="flight_data_true4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6" name="flight_data_true4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7" name="flight_data_true4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8" name="flight_data_true4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69" name="flight_data_true4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0" name="flight_data_true4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1" name="flight_data_true4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2" name="flight_data_true4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3" name="flight_data_true46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4" name="flight_data_true46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5" name="flight_data_true4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6" name="flight_data_true4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7" name="flight_data_true4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8" name="flight_data_true4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79" name="flight_data_true4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0" name="flight_data_true4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1" name="flight_data_true4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2" name="flight_data_true4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3" name="flight_data_true47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4" name="flight_data_true47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5" name="flight_data_true4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6" name="flight_data_true4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7" name="flight_data_true4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8" name="flight_data_true4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89" name="flight_data_true4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0" name="flight_data_true4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1" name="flight_data_true4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2" name="flight_data_true4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3" name="flight_data_true48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4" name="flight_data_true48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5" name="flight_data_true4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6" name="flight_data_true4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7" name="flight_data_true4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8" name="flight_data_true4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99" name="flight_data_true4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0" name="flight_data_true4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1" name="flight_data_true4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2" name="flight_data_true4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3" name="flight_data_true49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4" name="flight_data_true49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5" name="flight_data_true4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6" name="flight_data_true4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7" name="flight_data_true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8" name="flight_data_true5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09" name="flight_data_true5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0" name="flight_data_true5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1" name="flight_data_true5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2" name="flight_data_true50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3" name="flight_data_true50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4" name="flight_data_true50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5" name="flight_data_true50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6" name="flight_data_true50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7" name="flight_data_true50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8" name="flight_data_true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19" name="flight_data_true5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0" name="flight_data_true5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1" name="flight_data_true51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2" name="flight_data_true510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3" name="flight_data_true510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4" name="flight_data_true510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5" name="flight_data_true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6" name="flight_data_true5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7" name="flight_data_true51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8" name="flight_data_true51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29" name="flight_data_true51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0" name="flight_data_true51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1" name="flight_data_true51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2" name="flight_data_true5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3" name="flight_data_true51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4" name="flight_data_true5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5" name="flight_data_true51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6" name="flight_data_true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7" name="flight_data_true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8" name="flight_data_true5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9" name="flight_data_true52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0" name="flight_data_true52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1" name="flight_data_true52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2" name="flight_data_true52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3" name="flight_data_true52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4" name="flight_data_true5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5" name="flight_data_true52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6" name="flight_data_true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7" name="flight_data_true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8" name="flight_data_true5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9" name="flight_data_true5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0" name="flight_data_true53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1" name="flight_data_true53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2" name="flight_data_true53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3" name="flight_data_true53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4" name="flight_data_true5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5" name="flight_data_true53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6" name="flight_data_true5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7" name="flight_data_true5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8" name="flight_data_true5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9" name="flight_data_true5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0" name="flight_data_true54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1" name="flight_data_true54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2" name="flight_data_true54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3" name="flight_data_true54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4" name="flight_data_true5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5" name="flight_data_true54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6" name="flight_data_true5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7" name="flight_data_true5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8" name="flight_data_true5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9" name="flight_data_true5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0" name="flight_data_true55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1" name="flight_data_true55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2" name="flight_data_true55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3" name="flight_data_true55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4" name="flight_data_true5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5" name="flight_data_true55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6" name="flight_data_true5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7" name="flight_data_true5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8" name="flight_data_true5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9" name="flight_data_true5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0" name="flight_data_true56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1" name="flight_data_true56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2" name="flight_data_true56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3" name="flight_data_true56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4" name="flight_data_true5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5" name="flight_data_true5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6" name="flight_data_true5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7" name="flight_data_true5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8" name="flight_data_true5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9" name="flight_data_true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0" name="flight_data_true6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1" name="flight_data_true6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2" name="flight_data_true6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3" name="flight_data_true60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4" name="flight_data_true60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5" name="flight_data_true60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6" name="flight_data_true60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7" name="flight_data_true60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8" name="flight_data_true60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9" name="flight_data_true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0" name="flight_data_true6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1" name="flight_data_true6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2" name="flight_data_true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3" name="flight_data_true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4" name="flight_data_true6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5" name="flight_data_true6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6" name="flight_data_true6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7" name="flight_data_true63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8" name="flight_data_true63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9" name="flight_data_true63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0" name="flight_data_true6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1" name="flight_data_true63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2" name="flight_data_true6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3" name="flight_data_true6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4" name="flight_data_true6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5" name="flight_data_true64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6" name="flight_data_true64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7" name="flight_data_true64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8" name="flight_data_true64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9" name="flight_data_true6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0" name="flight_data_true64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1" name="flight_data_true6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2" name="flight_data_true6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3" name="flight_data_true6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4" name="flight_data_true65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5" name="flight_data_true65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6" name="flight_data_true65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7" name="flight_data_true65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8" name="flight_data_true6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9" name="flight_data_true65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0" name="flight_data_true6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1" name="flight_data_true6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2" name="flight_data_true66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3" name="flight_data_true66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4" name="flight_data_true66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5" name="flight_data_true66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6" name="flight_data_true66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7" name="flight_data_true66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8" name="flight_data_true66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9" name="flight_data_true6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0" name="flight_data_true6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1" name="flight_data_true67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2" name="flight_data_true67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3" name="flight_data_true67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4" name="flight_data_true67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5" name="flight_data_true67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6" name="flight_data_true6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7" name="flight_data_true6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8" name="flight_data_true6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9" name="flight_data_true6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0" name="flight_data_true6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1" name="flight_data_true68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2" name="flight_data_true68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3" name="flight_data_true68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4" name="flight_data_true681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5" name="flight_data_true6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6" name="flight_data_true6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7" name="flight_data_true6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8" name="flight_data_true6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9" name="flight_data_true6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0" name="flight_data_true69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1" name="flight_data_true69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2" name="flight_data_true69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3" name="flight_data_true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4" name="flight_data_true7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5" name="flight_data_true7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6" name="flight_data_true7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7" name="flight_data_true70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8" name="flight_data_true70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9" name="flight_data_true70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0" name="flight_data_true7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1" name="flight_data_true7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2" name="flight_data_true71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3" name="flight_data_true7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4" name="flight_data_true7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5" name="flight_data_true7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6" name="flight_data_true7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7" name="flight_data_true7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8" name="flight_data_true7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9" name="flight_data_true7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0" name="flight_data_true7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1" name="flight_data_true73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2" name="flight_data_true73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3" name="flight_data_true73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4" name="flight_data_true7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5" name="flight_data_true7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6" name="flight_data_true74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7" name="flight_data_true74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8" name="flight_data_true7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9" name="flight_data_true7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0" name="flight_data_true7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1" name="flight_data_true7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2" name="flight_data_true7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3" name="flight_data_true7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4" name="flight_data_true7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5" name="flight_data_true78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6" name="flight_data_true7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7" name="flight_data_true7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8" name="flight_data_true79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9" name="flight_data_true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0" name="flight_data_true8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1" name="flight_data_true80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2" name="flight_data_true80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3" name="flight_data_true8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4" name="flight_data_true8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5" name="flight_data_true8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6" name="flight_data_true8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7" name="flight_data_true8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8" name="flight_data_true8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9" name="flight_data_true8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0" name="flight_data_true8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1" name="flight_data_true8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2" name="flight_data_true8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3" name="flight_data_true8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4" name="flight_data_true8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5" name="flight_data_true8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6" name="flight_data_true85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7" name="flight_data_true8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8" name="flight_data_true86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9" name="flight_data_true8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0" name="flight_data_true8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1" name="flight_data_true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2" name="flight_data_true9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3" name="flight_data_true9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4" name="flight_data_true9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5" name="flight_data_true92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6" name="flight_data_true92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7" name="flight_data_true92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8" name="flight_data_true92111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9" name="flight_data_true9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30" name="flight_data_true9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31" name="P1_flight_data_true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32" name="P1_flight_data_true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3" name="P1_flight_data_true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4" name="P1_flight_data_true1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5" name="P1_flight_data_true1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6" name="P1_flight_data_true1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7" name="P1_flight_data_true1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8" name="P1_flight_data_true12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39" name="P1_flight_data_true121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0" name="P1_flight_data_true1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1" name="P1_flight_data_true1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2" name="P1_flight_data_true13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3" name="P1_flight_data_true13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4" name="P1_flight_data_true13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5" name="P1_flight_data_true13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6" name="P1_flight_data_true132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7" name="P1_flight_data_true1321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8" name="P1_flight_data_true13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49" name="P1_flight_data_true13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0" name="P1_flight_data_true1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1" name="P1_flight_data_true14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2" name="P1_flight_data_true14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3" name="P1_flight_data_true14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4" name="P1_flight_data_true14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5" name="P1_flight_data_true14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6" name="P1_flight_data_true142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7" name="P1_flight_data_true1421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8" name="P1_flight_data_true14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59" name="P1_flight_data_true14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0" name="P1_flight_data_true15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1" name="P1_flight_data_true15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2" name="P1_flight_data_true15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3" name="P1_flight_data_true15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4" name="P1_flight_data_true15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5" name="P1_flight_data_true15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6" name="P1_flight_data_true152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7" name="P1_flight_data_true1521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8" name="P1_flight_data_true15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69" name="P1_flight_data_true15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0" name="P1_flight_data_true16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1" name="P1_flight_data_true16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2" name="P1_flight_data_true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3" name="P1_flight_data_true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4" name="P1_flight_data_true2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5" name="P1_flight_data_true2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6" name="P1_flight_data_true2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7" name="P1_flight_data_true2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8" name="P1_flight_data_true22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79" name="P1_flight_data_true221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0" name="P1_flight_data_true2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1" name="P1_flight_data_true2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2" name="P1_flight_data_true3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83" name="P1_flight_data_true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4" name="P1_flight_data_true4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5" name="P1_flight_data_true4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6" name="P1_flight_data_true42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7" name="P1_flight_data_true42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8" name="P1_flight_data_true42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89" name="P1_flight_data_true42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0" name="P1_flight_data_true421111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1" name="P1_flight_data_true4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2" name="P1_flight_data_true43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1393" name="P1_flight_data_true5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94" name="P1_flight_data_true5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95" name="P1_flight_data_true5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96" name="P1_flight_data_true5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97" name="P1_flight_data_true51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98" name="P1_flight_data_true511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399" name="P1_flight_data_true6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0" name="P1_flight_data_true6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1" name="P1_flight_data_true62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2" name="P1_flight_data_true62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3" name="P1_flight_data_true62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4" name="P1_flight_data_true62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5" name="P1_flight_data_true621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6" name="P1_flight_data_true6211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7" name="P1_flight_data_true63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8" name="P1_flight_data_true63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09" name="P1_flight_data_true7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0" name="P1_flight_data_true7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1" name="P1_flight_data_true8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2" name="P1_flight_data_true8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3" name="P1_flight_data_true82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4" name="P1_flight_data_true82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5" name="P1_flight_data_true82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6" name="P1_flight_data_true82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7" name="P1_flight_data_true821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8" name="P1_flight_data_true821111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19" name="P1_flight_data_true83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1420" name="P1_flight_data_true831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<sst xmlns="http://schemas.openxmlformats.org/spreadsheetml/2006/main" count="142" uniqueCount="31">
  <si>
    <t>P (input)</t>
  </si>
  <si>
    <t>h (output)</t>
  </si>
  <si>
    <t>h (input)</t>
  </si>
  <si>
    <t>P (output)</t>
  </si>
  <si>
    <t>EQ1_Tb</t>
  </si>
  <si>
    <t>coef1</t>
  </si>
  <si>
    <t>EQ1_Lb</t>
  </si>
  <si>
    <t>index1</t>
  </si>
  <si>
    <t>EQ1_R</t>
  </si>
  <si>
    <t>coef2</t>
  </si>
  <si>
    <t>EQ1_g</t>
  </si>
  <si>
    <t>index2</t>
  </si>
  <si>
    <t>EQ1_M</t>
  </si>
  <si>
    <t>EQ1_Pb</t>
  </si>
  <si>
    <t>Altitude (m)</t>
  </si>
  <si>
    <t>Data:</t>
  </si>
  <si>
    <t>Pressão no Solo (Pa)</t>
  </si>
  <si>
    <t>Pressão no Apogeu (Pa)</t>
  </si>
  <si>
    <t>Apogeu (m)</t>
  </si>
  <si>
    <t>Altímetro</t>
  </si>
  <si>
    <t>Altitude</t>
  </si>
  <si>
    <t>Altura</t>
  </si>
  <si>
    <t>Tempo (s)</t>
  </si>
  <si>
    <t>Vôo Nº:</t>
  </si>
  <si>
    <t>Equação Barométrica</t>
  </si>
  <si>
    <t>Pressao</t>
  </si>
  <si>
    <t>Dados Brutos</t>
  </si>
  <si>
    <t>T77 - 1</t>
  </si>
  <si>
    <t>T77 - 2</t>
  </si>
  <si>
    <t>T78 - 1</t>
  </si>
  <si>
    <t>T81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</si>
</sst>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ck">
        <color rgb="FFC00000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/>
      <diagonal/>
    </border>
    <border>
      <left style="medium">
        <color theme="5"/>
      </left>
      <right style="thick">
        <color rgb="FFC00000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ck">
        <color rgb="FFC0000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4" fontId="0" fillId="0" borderId="0" xfId="0" applyNumberFormat="1" applyBorder="1"/>
    <xf numFmtId="0" fontId="0" fillId="0" borderId="0" xfId="0" applyBorder="1"/>
    <xf numFmtId="0" fontId="1" fillId="0" borderId="5" xfId="0" applyFont="1" applyBorder="1"/>
    <xf numFmtId="0" fontId="0" fillId="0" borderId="7" xfId="0" applyBorder="1"/>
    <xf numFmtId="2" fontId="0" fillId="0" borderId="5" xfId="0" applyNumberFormat="1" applyBorder="1" applyAlignment="1"/>
    <xf numFmtId="0" fontId="0" fillId="0" borderId="8" xfId="0" applyBorder="1"/>
    <xf numFmtId="0" fontId="0" fillId="0" borderId="9" xfId="0" applyBorder="1"/>
    <xf numFmtId="0" fontId="0" fillId="0" borderId="11" xfId="0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164" fontId="0" fillId="0" borderId="16" xfId="0" applyNumberFormat="1" applyBorder="1"/>
    <xf numFmtId="0" fontId="1" fillId="0" borderId="0" xfId="0" applyFont="1" applyBorder="1"/>
    <xf numFmtId="0" fontId="1" fillId="2" borderId="16" xfId="0" applyFont="1" applyFill="1" applyBorder="1" applyAlignment="1"/>
    <xf numFmtId="0" fontId="0" fillId="0" borderId="4" xfId="0" applyBorder="1" applyAlignment="1">
      <alignment horizontal="center"/>
    </xf>
    <xf numFmtId="0" fontId="1" fillId="2" borderId="6" xfId="0" applyFont="1" applyFill="1" applyBorder="1" applyAlignment="1"/>
    <xf numFmtId="0" fontId="0" fillId="0" borderId="18" xfId="0" applyBorder="1" applyAlignment="1"/>
    <xf numFmtId="2" fontId="0" fillId="0" borderId="21" xfId="0" applyNumberFormat="1" applyBorder="1" applyAlignment="1"/>
    <xf numFmtId="164" fontId="0" fillId="0" borderId="22" xfId="0" applyNumberFormat="1" applyBorder="1"/>
    <xf numFmtId="0" fontId="1" fillId="0" borderId="23" xfId="0" applyFont="1" applyBorder="1"/>
    <xf numFmtId="164" fontId="0" fillId="0" borderId="24" xfId="0" applyNumberFormat="1" applyBorder="1"/>
    <xf numFmtId="0" fontId="1" fillId="0" borderId="2" xfId="0" applyFont="1" applyBorder="1" applyAlignment="1">
      <alignment horizontal="center"/>
    </xf>
    <xf numFmtId="49" fontId="0" fillId="0" borderId="10" xfId="0" applyNumberFormat="1" applyBorder="1"/>
    <xf numFmtId="49" fontId="0" fillId="0" borderId="13" xfId="0" applyNumberFormat="1" applyBorder="1"/>
    <xf numFmtId="0" fontId="1" fillId="2" borderId="15" xfId="0" applyFont="1" applyFill="1" applyBorder="1" applyAlignment="1">
      <alignment vertical="center"/>
    </xf>
    <xf numFmtId="3" fontId="0" fillId="0" borderId="0" xfId="0" applyNumberFormat="1"/>
    <xf numFmtId="4" fontId="0" fillId="0" borderId="0" xfId="0" applyNumberFormat="1"/>
    <xf numFmtId="0" fontId="0" fillId="0" borderId="0" xfId="0" applyNumberFormat="1"/>
    <xf numFmtId="0" fontId="1" fillId="0" borderId="0" xfId="0" applyFont="1" applyBorder="1" applyAlignment="1"/>
    <xf numFmtId="0" fontId="0" fillId="0" borderId="13" xfId="0" applyBorder="1"/>
    <xf numFmtId="0" fontId="0" fillId="0" borderId="25" xfId="0" applyBorder="1"/>
    <xf numFmtId="0" fontId="1" fillId="0" borderId="26" xfId="0" applyFont="1" applyBorder="1" applyAlignment="1">
      <alignment horizontal="center"/>
    </xf>
    <xf numFmtId="164" fontId="2" fillId="0" borderId="27" xfId="0" applyNumberFormat="1" applyFont="1" applyBorder="1"/>
    <xf numFmtId="164" fontId="3" fillId="0" borderId="28" xfId="0" applyNumberFormat="1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5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Vôo'!$F$8:$F$248</c:f>
              <c:numCache>
                <c:formatCode>0.0</c:formatCode>
                <c:ptCount val="241"/>
                <c:pt idx="0">
                  <c:v>0</c:v>
                </c:pt>
                <c:pt idx="1">
                  <c:v>-1.2292655680577127</c:v>
                </c:pt>
                <c:pt idx="2">
                  <c:v>88.92108645492533</c:v>
                </c:pt>
                <c:pt idx="3">
                  <c:v>422.54330060933853</c:v>
                </c:pt>
                <c:pt idx="4">
                  <c:v>561.71430028204213</c:v>
                </c:pt>
                <c:pt idx="5">
                  <c:v>612.95090876675067</c:v>
                </c:pt>
                <c:pt idx="6">
                  <c:v>588.21096904608817</c:v>
                </c:pt>
                <c:pt idx="7">
                  <c:v>580.93121809790091</c:v>
                </c:pt>
                <c:pt idx="8">
                  <c:v>572.61698290893742</c:v>
                </c:pt>
                <c:pt idx="9">
                  <c:v>363.82419192910015</c:v>
                </c:pt>
                <c:pt idx="10">
                  <c:v>60.929313092361099</c:v>
                </c:pt>
                <c:pt idx="11">
                  <c:v>-6.3923838301052456</c:v>
                </c:pt>
                <c:pt idx="12">
                  <c:v>-6.6380947576647031</c:v>
                </c:pt>
                <c:pt idx="13">
                  <c:v>-6.1466669836306664</c:v>
                </c:pt>
                <c:pt idx="14">
                  <c:v>-6.3923838301052456</c:v>
                </c:pt>
                <c:pt idx="15">
                  <c:v>-6.6380947576647031</c:v>
                </c:pt>
                <c:pt idx="16">
                  <c:v>-6.8837997666339561</c:v>
                </c:pt>
                <c:pt idx="17">
                  <c:v>-6.6380947576647031</c:v>
                </c:pt>
                <c:pt idx="18">
                  <c:v>-6.6380947576647031</c:v>
                </c:pt>
                <c:pt idx="19">
                  <c:v>-7.1294988573326918</c:v>
                </c:pt>
                <c:pt idx="20">
                  <c:v>-6.6380947576647031</c:v>
                </c:pt>
                <c:pt idx="21">
                  <c:v>-6.6380947576647031</c:v>
                </c:pt>
                <c:pt idx="22">
                  <c:v>-6.8837997666339561</c:v>
                </c:pt>
                <c:pt idx="23">
                  <c:v>-7.3761019937880974</c:v>
                </c:pt>
                <c:pt idx="24">
                  <c:v>-7.1294988573326918</c:v>
                </c:pt>
                <c:pt idx="25">
                  <c:v>-6.6380947576647031</c:v>
                </c:pt>
                <c:pt idx="26">
                  <c:v>-6.6380947576647031</c:v>
                </c:pt>
                <c:pt idx="27">
                  <c:v>-6.8837997666339561</c:v>
                </c:pt>
                <c:pt idx="28">
                  <c:v>-6.8837997666339561</c:v>
                </c:pt>
                <c:pt idx="29">
                  <c:v>-7.1294988573326918</c:v>
                </c:pt>
                <c:pt idx="30">
                  <c:v>-6.3923838301052456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35296"/>
        <c:axId val="626928224"/>
      </c:scatterChart>
      <c:valAx>
        <c:axId val="6269352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28224"/>
        <c:crosses val="autoZero"/>
        <c:crossBetween val="midCat"/>
        <c:majorUnit val="0.1"/>
      </c:valAx>
      <c:valAx>
        <c:axId val="6269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5296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 (2)'!$C$6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88900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'Leitura Dados de Vôo (2)'!$A$8:$A$248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 (2)'!$F$8:$F$248</c:f>
              <c:numCache>
                <c:formatCode>0.0</c:formatCode>
                <c:ptCount val="241"/>
                <c:pt idx="0">
                  <c:v>1.1952176561967462</c:v>
                </c:pt>
                <c:pt idx="1">
                  <c:v>-0.71778935188535797</c:v>
                </c:pt>
                <c:pt idx="2">
                  <c:v>-0.71778935188535797</c:v>
                </c:pt>
                <c:pt idx="3">
                  <c:v>0</c:v>
                </c:pt>
                <c:pt idx="4">
                  <c:v>-0.47822936469469823</c:v>
                </c:pt>
                <c:pt idx="5">
                  <c:v>-0.47822936469469823</c:v>
                </c:pt>
                <c:pt idx="6">
                  <c:v>-0.47822936469469823</c:v>
                </c:pt>
                <c:pt idx="7">
                  <c:v>-0.23957121113187441</c:v>
                </c:pt>
                <c:pt idx="8">
                  <c:v>-0.23957121113187441</c:v>
                </c:pt>
                <c:pt idx="9">
                  <c:v>-0.71778935188535797</c:v>
                </c:pt>
                <c:pt idx="10">
                  <c:v>-0.71778935188535797</c:v>
                </c:pt>
                <c:pt idx="11">
                  <c:v>-0.47822936469469823</c:v>
                </c:pt>
                <c:pt idx="12">
                  <c:v>0</c:v>
                </c:pt>
                <c:pt idx="13">
                  <c:v>-0.47822936469469823</c:v>
                </c:pt>
                <c:pt idx="14">
                  <c:v>-0.71778935188535797</c:v>
                </c:pt>
                <c:pt idx="15">
                  <c:v>-0.47822936469469823</c:v>
                </c:pt>
                <c:pt idx="16">
                  <c:v>-0.47822936469469823</c:v>
                </c:pt>
                <c:pt idx="17">
                  <c:v>-0.95734371690036824</c:v>
                </c:pt>
                <c:pt idx="18">
                  <c:v>-0.23957121113187441</c:v>
                </c:pt>
                <c:pt idx="19">
                  <c:v>-0.23957121113187441</c:v>
                </c:pt>
                <c:pt idx="20">
                  <c:v>-0.47822936469469823</c:v>
                </c:pt>
                <c:pt idx="21">
                  <c:v>0</c:v>
                </c:pt>
                <c:pt idx="22">
                  <c:v>0</c:v>
                </c:pt>
                <c:pt idx="23">
                  <c:v>23.1</c:v>
                </c:pt>
                <c:pt idx="24">
                  <c:v>102.3</c:v>
                </c:pt>
                <c:pt idx="25">
                  <c:v>237.4314864637231</c:v>
                </c:pt>
                <c:pt idx="26">
                  <c:v>368.32505058529523</c:v>
                </c:pt>
                <c:pt idx="27">
                  <c:v>429.15568131296686</c:v>
                </c:pt>
                <c:pt idx="28">
                  <c:v>435.38272395320109</c:v>
                </c:pt>
                <c:pt idx="29">
                  <c:v>436.62935095278976</c:v>
                </c:pt>
                <c:pt idx="30">
                  <c:v>422.43485762044315</c:v>
                </c:pt>
                <c:pt idx="31">
                  <c:v>393.11126451394398</c:v>
                </c:pt>
                <c:pt idx="32">
                  <c:v>363.3739563762033</c:v>
                </c:pt>
                <c:pt idx="33">
                  <c:v>296.2790474715398</c:v>
                </c:pt>
                <c:pt idx="34">
                  <c:v>209.59267641626775</c:v>
                </c:pt>
                <c:pt idx="35">
                  <c:v>97.760382371985884</c:v>
                </c:pt>
                <c:pt idx="36">
                  <c:v>1.1952176561967462</c:v>
                </c:pt>
                <c:pt idx="37">
                  <c:v>-0.71778935188535797</c:v>
                </c:pt>
                <c:pt idx="38">
                  <c:v>-0.71778935188535797</c:v>
                </c:pt>
                <c:pt idx="39">
                  <c:v>0</c:v>
                </c:pt>
                <c:pt idx="40">
                  <c:v>-0.47822936469469823</c:v>
                </c:pt>
                <c:pt idx="41">
                  <c:v>-0.47822936469469823</c:v>
                </c:pt>
                <c:pt idx="42">
                  <c:v>-0.47822936469469823</c:v>
                </c:pt>
                <c:pt idx="43">
                  <c:v>-0.23957121113187441</c:v>
                </c:pt>
                <c:pt idx="44">
                  <c:v>-0.23957121113187441</c:v>
                </c:pt>
                <c:pt idx="45">
                  <c:v>-0.71778935188535797</c:v>
                </c:pt>
                <c:pt idx="46">
                  <c:v>-0.71778935188535797</c:v>
                </c:pt>
                <c:pt idx="47">
                  <c:v>-0.47822936469469823</c:v>
                </c:pt>
                <c:pt idx="48">
                  <c:v>0</c:v>
                </c:pt>
                <c:pt idx="49">
                  <c:v>-0.47822936469469823</c:v>
                </c:pt>
                <c:pt idx="50">
                  <c:v>-0.71778935188535797</c:v>
                </c:pt>
                <c:pt idx="51">
                  <c:v>-0.47822936469469823</c:v>
                </c:pt>
                <c:pt idx="52">
                  <c:v>-0.47822936469469823</c:v>
                </c:pt>
                <c:pt idx="53">
                  <c:v>-0.95734371690036824</c:v>
                </c:pt>
                <c:pt idx="54">
                  <c:v>-0.23957121113187441</c:v>
                </c:pt>
                <c:pt idx="55">
                  <c:v>-0.23957121113187441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36928"/>
        <c:axId val="626938016"/>
      </c:scatterChart>
      <c:valAx>
        <c:axId val="626936928"/>
        <c:scaling>
          <c:orientation val="minMax"/>
          <c:max val="18.336000000000002"/>
          <c:min val="6.3360000000000003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8016"/>
        <c:crosses val="autoZero"/>
        <c:crossBetween val="midCat"/>
        <c:majorUnit val="0.19200000000000003"/>
      </c:valAx>
      <c:valAx>
        <c:axId val="6269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6928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'T77 - 1'!$C$6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'T77 - 1'!$A$8:$A$248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'T77 - 1'!$F$8:$F$248</c:f>
              <c:numCache>
                <c:formatCode>0.0</c:formatCode>
                <c:ptCount val="241"/>
                <c:pt idx="0">
                  <c:v>-44.108301070071548</c:v>
                </c:pt>
                <c:pt idx="1">
                  <c:v>-40.910419473445245</c:v>
                </c:pt>
                <c:pt idx="2">
                  <c:v>-54.184727021513822</c:v>
                </c:pt>
                <c:pt idx="3">
                  <c:v>-74.801929837488046</c:v>
                </c:pt>
                <c:pt idx="4">
                  <c:v>-87.544229469626885</c:v>
                </c:pt>
                <c:pt idx="5">
                  <c:v>-36.974445121475696</c:v>
                </c:pt>
                <c:pt idx="6">
                  <c:v>-94.155116772635779</c:v>
                </c:pt>
                <c:pt idx="7">
                  <c:v>-111.51696204204052</c:v>
                </c:pt>
                <c:pt idx="8">
                  <c:v>-76.272415754311396</c:v>
                </c:pt>
                <c:pt idx="9">
                  <c:v>-71.367864414034329</c:v>
                </c:pt>
                <c:pt idx="10">
                  <c:v>-78.724260420452083</c:v>
                </c:pt>
                <c:pt idx="11">
                  <c:v>-56.396641694990763</c:v>
                </c:pt>
                <c:pt idx="12">
                  <c:v>-36.974445121475696</c:v>
                </c:pt>
                <c:pt idx="13">
                  <c:v>-30.083290152450786</c:v>
                </c:pt>
                <c:pt idx="14">
                  <c:v>-30.083290152450786</c:v>
                </c:pt>
                <c:pt idx="15">
                  <c:v>-70.632294909492884</c:v>
                </c:pt>
                <c:pt idx="16">
                  <c:v>-71.367864414034329</c:v>
                </c:pt>
                <c:pt idx="17">
                  <c:v>-68.915157542163456</c:v>
                </c:pt>
                <c:pt idx="18">
                  <c:v>-78.47865093101484</c:v>
                </c:pt>
                <c:pt idx="19">
                  <c:v>-88.034104888975435</c:v>
                </c:pt>
                <c:pt idx="20">
                  <c:v>-75.538102494107079</c:v>
                </c:pt>
                <c:pt idx="21">
                  <c:v>-105.65130206194988</c:v>
                </c:pt>
                <c:pt idx="22">
                  <c:v>-109.07387108400644</c:v>
                </c:pt>
                <c:pt idx="23">
                  <c:v>-85.829931753241794</c:v>
                </c:pt>
                <c:pt idx="24">
                  <c:v>-88.034104888975435</c:v>
                </c:pt>
                <c:pt idx="25">
                  <c:v>-85.829931753241794</c:v>
                </c:pt>
                <c:pt idx="26">
                  <c:v>-85.584492972184989</c:v>
                </c:pt>
                <c:pt idx="27">
                  <c:v>-84.605386241998531</c:v>
                </c:pt>
                <c:pt idx="28">
                  <c:v>-84.360820519989034</c:v>
                </c:pt>
                <c:pt idx="29">
                  <c:v>-84.115346456662905</c:v>
                </c:pt>
                <c:pt idx="30">
                  <c:v>-82.889692889393928</c:v>
                </c:pt>
                <c:pt idx="31">
                  <c:v>-82.645988726801306</c:v>
                </c:pt>
                <c:pt idx="32">
                  <c:v>-81.664795023128818</c:v>
                </c:pt>
                <c:pt idx="33">
                  <c:v>-81.42015892267068</c:v>
                </c:pt>
                <c:pt idx="34">
                  <c:v>-80.43975032948731</c:v>
                </c:pt>
                <c:pt idx="35">
                  <c:v>-80.929966382819316</c:v>
                </c:pt>
                <c:pt idx="36">
                  <c:v>-79.949510760164799</c:v>
                </c:pt>
                <c:pt idx="37">
                  <c:v>-79.214558769130122</c:v>
                </c:pt>
                <c:pt idx="38">
                  <c:v>-78.724260420452083</c:v>
                </c:pt>
                <c:pt idx="39">
                  <c:v>-77.74359314611047</c:v>
                </c:pt>
                <c:pt idx="40">
                  <c:v>-76.762831752314128</c:v>
                </c:pt>
                <c:pt idx="41">
                  <c:v>-75.781976218869204</c:v>
                </c:pt>
                <c:pt idx="42">
                  <c:v>-74.801929837488046</c:v>
                </c:pt>
                <c:pt idx="43">
                  <c:v>-74.557129387766736</c:v>
                </c:pt>
                <c:pt idx="44">
                  <c:v>-73.33032883373869</c:v>
                </c:pt>
                <c:pt idx="45">
                  <c:v>-72.59490059965492</c:v>
                </c:pt>
                <c:pt idx="46">
                  <c:v>-71.367864414034329</c:v>
                </c:pt>
                <c:pt idx="47">
                  <c:v>-69.896672445422496</c:v>
                </c:pt>
                <c:pt idx="48">
                  <c:v>-68.424364728776823</c:v>
                </c:pt>
                <c:pt idx="49">
                  <c:v>-67.443612328538279</c:v>
                </c:pt>
                <c:pt idx="50">
                  <c:v>-65.97095103606182</c:v>
                </c:pt>
                <c:pt idx="51">
                  <c:v>-64.744023211092781</c:v>
                </c:pt>
                <c:pt idx="52">
                  <c:v>-64.007976633515909</c:v>
                </c:pt>
                <c:pt idx="53">
                  <c:v>-63.516948014318132</c:v>
                </c:pt>
                <c:pt idx="54">
                  <c:v>-62.534819963773202</c:v>
                </c:pt>
                <c:pt idx="55">
                  <c:v>-61.061450819537868</c:v>
                </c:pt>
                <c:pt idx="56">
                  <c:v>-60.571185114091577</c:v>
                </c:pt>
                <c:pt idx="57">
                  <c:v>-59.097532694489814</c:v>
                </c:pt>
                <c:pt idx="58">
                  <c:v>-56.641877692926755</c:v>
                </c:pt>
                <c:pt idx="59">
                  <c:v>-54.430921248763298</c:v>
                </c:pt>
                <c:pt idx="60">
                  <c:v>-52.957287841728999</c:v>
                </c:pt>
                <c:pt idx="61">
                  <c:v>-47.305181470573189</c:v>
                </c:pt>
                <c:pt idx="62">
                  <c:v>-43.862763910267972</c:v>
                </c:pt>
                <c:pt idx="63">
                  <c:v>13.342286130249022</c:v>
                </c:pt>
                <c:pt idx="64">
                  <c:v>15.072698561789366</c:v>
                </c:pt>
                <c:pt idx="65">
                  <c:v>14.825739172386648</c:v>
                </c:pt>
                <c:pt idx="66">
                  <c:v>14.578785763799374</c:v>
                </c:pt>
                <c:pt idx="67">
                  <c:v>12.353740997346108</c:v>
                </c:pt>
                <c:pt idx="68">
                  <c:v>12.105936410022991</c:v>
                </c:pt>
                <c:pt idx="69">
                  <c:v>10.87064748732962</c:v>
                </c:pt>
                <c:pt idx="70">
                  <c:v>13.342286130249022</c:v>
                </c:pt>
                <c:pt idx="71">
                  <c:v>14.083985675792519</c:v>
                </c:pt>
                <c:pt idx="72">
                  <c:v>-32.29861722738201</c:v>
                </c:pt>
                <c:pt idx="73">
                  <c:v>-31.56022828625521</c:v>
                </c:pt>
                <c:pt idx="74">
                  <c:v>-31.56022828625521</c:v>
                </c:pt>
                <c:pt idx="75">
                  <c:v>-31.31348199217382</c:v>
                </c:pt>
                <c:pt idx="76">
                  <c:v>-31.806061493571974</c:v>
                </c:pt>
                <c:pt idx="77">
                  <c:v>-31.066729733646639</c:v>
                </c:pt>
                <c:pt idx="78">
                  <c:v>-31.066729733646639</c:v>
                </c:pt>
                <c:pt idx="79">
                  <c:v>-30.329158930350218</c:v>
                </c:pt>
                <c:pt idx="80">
                  <c:v>-30.575021786302727</c:v>
                </c:pt>
                <c:pt idx="81">
                  <c:v>-30.329158930350218</c:v>
                </c:pt>
                <c:pt idx="82">
                  <c:v>-30.083290152450786</c:v>
                </c:pt>
                <c:pt idx="83">
                  <c:v>-29.590627510000218</c:v>
                </c:pt>
                <c:pt idx="84">
                  <c:v>-29.590627510000218</c:v>
                </c:pt>
                <c:pt idx="85">
                  <c:v>-29.836508154600665</c:v>
                </c:pt>
                <c:pt idx="86">
                  <c:v>-29.097941088434823</c:v>
                </c:pt>
                <c:pt idx="87">
                  <c:v>-28.85113526703185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36384"/>
        <c:axId val="626935840"/>
      </c:scatterChart>
      <c:valAx>
        <c:axId val="62693638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5840"/>
        <c:crosses val="autoZero"/>
        <c:crossBetween val="midCat"/>
        <c:majorUnit val="1"/>
      </c:valAx>
      <c:valAx>
        <c:axId val="62693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638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'T77 - 2'!$C$6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'T77 - 2'!$A$8:$A$248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'T77 - 2'!$F$8:$F$248</c:f>
              <c:numCache>
                <c:formatCode>0.0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32576"/>
        <c:axId val="626939104"/>
      </c:scatterChart>
      <c:valAx>
        <c:axId val="62693257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9104"/>
        <c:crosses val="autoZero"/>
        <c:crossBetween val="midCat"/>
        <c:majorUnit val="0.1"/>
      </c:valAx>
      <c:valAx>
        <c:axId val="62693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2576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'T78 - 1'!$C$6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'T78 - 1'!$A$8:$A$248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'T78 - 1'!$F$8:$F$248</c:f>
              <c:numCache>
                <c:formatCode>0.0</c:formatCode>
                <c:ptCount val="241"/>
                <c:pt idx="0">
                  <c:v>0</c:v>
                </c:pt>
                <c:pt idx="1">
                  <c:v>-0.98853705435385564</c:v>
                </c:pt>
                <c:pt idx="2">
                  <c:v>-22.483910745680646</c:v>
                </c:pt>
                <c:pt idx="3">
                  <c:v>-196.3019754649074</c:v>
                </c:pt>
                <c:pt idx="4">
                  <c:v>-123.937592107456</c:v>
                </c:pt>
                <c:pt idx="5">
                  <c:v>-4.698554892567131</c:v>
                </c:pt>
                <c:pt idx="6">
                  <c:v>-4.9444502029449495</c:v>
                </c:pt>
                <c:pt idx="7">
                  <c:v>-5.1930615795397443</c:v>
                </c:pt>
                <c:pt idx="8">
                  <c:v>-9.1473459273573781</c:v>
                </c:pt>
                <c:pt idx="9">
                  <c:v>-15.324720030850358</c:v>
                </c:pt>
                <c:pt idx="10">
                  <c:v>-11.618562771118036</c:v>
                </c:pt>
                <c:pt idx="11">
                  <c:v>-12.605975368704094</c:v>
                </c:pt>
                <c:pt idx="12">
                  <c:v>-69.277700096481112</c:v>
                </c:pt>
                <c:pt idx="13">
                  <c:v>-39.995105775835214</c:v>
                </c:pt>
                <c:pt idx="14">
                  <c:v>-145.67387931770872</c:v>
                </c:pt>
                <c:pt idx="15">
                  <c:v>-25.691730640182755</c:v>
                </c:pt>
                <c:pt idx="16">
                  <c:v>-132.73549800789851</c:v>
                </c:pt>
                <c:pt idx="17">
                  <c:v>-97.500202022025178</c:v>
                </c:pt>
                <c:pt idx="18">
                  <c:v>-57.967391034818206</c:v>
                </c:pt>
                <c:pt idx="19">
                  <c:v>-43.690077686123573</c:v>
                </c:pt>
                <c:pt idx="20">
                  <c:v>-14.08827503711359</c:v>
                </c:pt>
                <c:pt idx="21">
                  <c:v>-5.9343230628769561</c:v>
                </c:pt>
                <c:pt idx="22">
                  <c:v>-5.1930615795397443</c:v>
                </c:pt>
                <c:pt idx="23">
                  <c:v>-6.9231927657345977</c:v>
                </c:pt>
                <c:pt idx="24">
                  <c:v>-8.6530307655357319</c:v>
                </c:pt>
                <c:pt idx="25">
                  <c:v>-4.2031168300876516</c:v>
                </c:pt>
                <c:pt idx="26">
                  <c:v>-3.2148910744562045</c:v>
                </c:pt>
                <c:pt idx="27">
                  <c:v>0.24783008445228916</c:v>
                </c:pt>
                <c:pt idx="28">
                  <c:v>0</c:v>
                </c:pt>
                <c:pt idx="29">
                  <c:v>-0.24691629732910769</c:v>
                </c:pt>
                <c:pt idx="30">
                  <c:v>-2.9671390396421202</c:v>
                </c:pt>
                <c:pt idx="31">
                  <c:v>-3.4617296122570451</c:v>
                </c:pt>
                <c:pt idx="32">
                  <c:v>-5.4398522857694616</c:v>
                </c:pt>
                <c:pt idx="33">
                  <c:v>-2.4725245001395706</c:v>
                </c:pt>
                <c:pt idx="34">
                  <c:v>-1.977885991155631</c:v>
                </c:pt>
                <c:pt idx="35">
                  <c:v>-45.41460344792938</c:v>
                </c:pt>
                <c:pt idx="36">
                  <c:v>-59.1976339648661</c:v>
                </c:pt>
                <c:pt idx="37">
                  <c:v>-45.167873109225184</c:v>
                </c:pt>
                <c:pt idx="38">
                  <c:v>-30.873554601899514</c:v>
                </c:pt>
                <c:pt idx="39">
                  <c:v>-43.197431706712337</c:v>
                </c:pt>
                <c:pt idx="40">
                  <c:v>-80.330526946355008</c:v>
                </c:pt>
                <c:pt idx="41">
                  <c:v>-28.899448468415358</c:v>
                </c:pt>
                <c:pt idx="42">
                  <c:v>-22.731189623767477</c:v>
                </c:pt>
                <c:pt idx="43">
                  <c:v>-106.81047012786041</c:v>
                </c:pt>
                <c:pt idx="44">
                  <c:v>-100.19555970112356</c:v>
                </c:pt>
                <c:pt idx="45">
                  <c:v>-131.75782835094913</c:v>
                </c:pt>
                <c:pt idx="46">
                  <c:v>-74.437473374291244</c:v>
                </c:pt>
                <c:pt idx="47">
                  <c:v>-59.1976339648661</c:v>
                </c:pt>
                <c:pt idx="48">
                  <c:v>-54.031062967640196</c:v>
                </c:pt>
                <c:pt idx="49">
                  <c:v>-123.937592107456</c:v>
                </c:pt>
                <c:pt idx="50">
                  <c:v>-84.993190951902307</c:v>
                </c:pt>
                <c:pt idx="51">
                  <c:v>-41.472531621292774</c:v>
                </c:pt>
                <c:pt idx="52">
                  <c:v>-69.523849062228919</c:v>
                </c:pt>
                <c:pt idx="53">
                  <c:v>-60.919544839956416</c:v>
                </c:pt>
                <c:pt idx="54">
                  <c:v>-16.06524625064344</c:v>
                </c:pt>
                <c:pt idx="55">
                  <c:v>-18.28650271289996</c:v>
                </c:pt>
                <c:pt idx="56">
                  <c:v>-207.22393708991478</c:v>
                </c:pt>
                <c:pt idx="57">
                  <c:v>-56.983451149971415</c:v>
                </c:pt>
                <c:pt idx="58">
                  <c:v>1.2373948019112504</c:v>
                </c:pt>
                <c:pt idx="59">
                  <c:v>3.2159040475495431</c:v>
                </c:pt>
                <c:pt idx="60">
                  <c:v>2.7219218018099127</c:v>
                </c:pt>
                <c:pt idx="61">
                  <c:v>-2.4725245001395706</c:v>
                </c:pt>
                <c:pt idx="62">
                  <c:v>3.9587385379678608</c:v>
                </c:pt>
                <c:pt idx="63">
                  <c:v>6.4328217818097073</c:v>
                </c:pt>
                <c:pt idx="64">
                  <c:v>5.4436614720135594</c:v>
                </c:pt>
                <c:pt idx="65">
                  <c:v>3.7117264478832794</c:v>
                </c:pt>
                <c:pt idx="66">
                  <c:v>6.9288005056822612</c:v>
                </c:pt>
                <c:pt idx="67">
                  <c:v>4.9486631530634213</c:v>
                </c:pt>
                <c:pt idx="68">
                  <c:v>3.4638122366153539</c:v>
                </c:pt>
                <c:pt idx="69">
                  <c:v>1.4852549353553286</c:v>
                </c:pt>
                <c:pt idx="70">
                  <c:v>-1.977885991155631</c:v>
                </c:pt>
                <c:pt idx="71">
                  <c:v>-0.98853705435385564</c:v>
                </c:pt>
                <c:pt idx="72">
                  <c:v>-1.4832235100915341</c:v>
                </c:pt>
                <c:pt idx="73">
                  <c:v>-1.977885991155631</c:v>
                </c:pt>
                <c:pt idx="74">
                  <c:v>-2.4725245001395706</c:v>
                </c:pt>
                <c:pt idx="75">
                  <c:v>-4.4517462628938347</c:v>
                </c:pt>
                <c:pt idx="76">
                  <c:v>-4.2031168300876516</c:v>
                </c:pt>
                <c:pt idx="77">
                  <c:v>-3.9562962205831127</c:v>
                </c:pt>
                <c:pt idx="78">
                  <c:v>-4.698554892567131</c:v>
                </c:pt>
                <c:pt idx="79">
                  <c:v>-5.1930615795397443</c:v>
                </c:pt>
                <c:pt idx="80">
                  <c:v>-5.4398522857694616</c:v>
                </c:pt>
                <c:pt idx="81">
                  <c:v>-5.1930615795397443</c:v>
                </c:pt>
                <c:pt idx="82">
                  <c:v>-5.6866370254764433</c:v>
                </c:pt>
                <c:pt idx="83">
                  <c:v>-6.4287698886690805</c:v>
                </c:pt>
                <c:pt idx="84">
                  <c:v>-6.1820030904584655</c:v>
                </c:pt>
                <c:pt idx="85">
                  <c:v>-5.9343230628769561</c:v>
                </c:pt>
                <c:pt idx="86">
                  <c:v>-6.4287698886690805</c:v>
                </c:pt>
                <c:pt idx="87">
                  <c:v>-6.6755307216512847</c:v>
                </c:pt>
                <c:pt idx="88">
                  <c:v>-7.416684564588877</c:v>
                </c:pt>
                <c:pt idx="89">
                  <c:v>-7.416684564588877</c:v>
                </c:pt>
                <c:pt idx="90">
                  <c:v>-7.6652357381613001</c:v>
                </c:pt>
                <c:pt idx="91">
                  <c:v>-7.9119666840512082</c:v>
                </c:pt>
                <c:pt idx="92">
                  <c:v>-8.6530307655357319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32032"/>
        <c:axId val="626933120"/>
      </c:scatterChart>
      <c:valAx>
        <c:axId val="62693203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3120"/>
        <c:crosses val="autoZero"/>
        <c:crossBetween val="midCat"/>
        <c:majorUnit val="1"/>
      </c:valAx>
      <c:valAx>
        <c:axId val="6269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320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'T78 - 2'!$C$6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'T78 - 2'!$A$8:$A$248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'T78 - 2'!$F$8:$F$248</c:f>
              <c:numCache>
                <c:formatCode>0.0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40192"/>
        <c:axId val="626929856"/>
      </c:scatterChart>
      <c:valAx>
        <c:axId val="62694019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29856"/>
        <c:crosses val="autoZero"/>
        <c:crossBetween val="midCat"/>
        <c:majorUnit val="0.1"/>
      </c:valAx>
      <c:valAx>
        <c:axId val="6269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4019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'T79 - 1'!$C$6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'T79 - 1'!$A$8:$A$248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'T79 - 1'!$F$8:$F$248</c:f>
              <c:numCache>
                <c:formatCode>0.0</c:formatCode>
                <c:ptCount val="241"/>
                <c:pt idx="0">
                  <c:v>0</c:v>
                </c:pt>
                <c:pt idx="1">
                  <c:v>9.0585476065032253</c:v>
                </c:pt>
                <c:pt idx="2">
                  <c:v>0.48944543166521726</c:v>
                </c:pt>
                <c:pt idx="3">
                  <c:v>12.977338375769818</c:v>
                </c:pt>
                <c:pt idx="4">
                  <c:v>9.7933774628673973</c:v>
                </c:pt>
                <c:pt idx="5">
                  <c:v>7.5890468424667006</c:v>
                </c:pt>
                <c:pt idx="6">
                  <c:v>5.6300420614722952</c:v>
                </c:pt>
                <c:pt idx="7">
                  <c:v>2.447462233618694</c:v>
                </c:pt>
                <c:pt idx="8">
                  <c:v>0.97891436833583612</c:v>
                </c:pt>
                <c:pt idx="9">
                  <c:v>-1.711960976167461</c:v>
                </c:pt>
                <c:pt idx="10">
                  <c:v>-1.467282299115368</c:v>
                </c:pt>
                <c:pt idx="11">
                  <c:v>-2.4459617680851125</c:v>
                </c:pt>
                <c:pt idx="12">
                  <c:v>-2.9352662664886111</c:v>
                </c:pt>
                <c:pt idx="13">
                  <c:v>-3.9138048037223143</c:v>
                </c:pt>
                <c:pt idx="14">
                  <c:v>-0.73321102431032159</c:v>
                </c:pt>
                <c:pt idx="15">
                  <c:v>0.48944543166521726</c:v>
                </c:pt>
                <c:pt idx="16">
                  <c:v>0.24563292236916823</c:v>
                </c:pt>
                <c:pt idx="17">
                  <c:v>0.97891436833583612</c:v>
                </c:pt>
                <c:pt idx="18">
                  <c:v>-0.4894219291797981</c:v>
                </c:pt>
                <c:pt idx="19">
                  <c:v>-0.4894219291797981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-0.73321102431032159</c:v>
                </c:pt>
                <c:pt idx="24">
                  <c:v>0</c:v>
                </c:pt>
                <c:pt idx="25">
                  <c:v>-0.4894219291797981</c:v>
                </c:pt>
                <c:pt idx="26">
                  <c:v>-0.4894219291797981</c:v>
                </c:pt>
                <c:pt idx="27">
                  <c:v>-0.73321102431032159</c:v>
                </c:pt>
                <c:pt idx="28">
                  <c:v>-0.2438008015858486</c:v>
                </c:pt>
                <c:pt idx="29">
                  <c:v>-0.4894219291797981</c:v>
                </c:pt>
                <c:pt idx="30">
                  <c:v>0</c:v>
                </c:pt>
                <c:pt idx="31">
                  <c:v>-0.4894219291797981</c:v>
                </c:pt>
                <c:pt idx="32">
                  <c:v>-1.2225977483293491</c:v>
                </c:pt>
                <c:pt idx="33">
                  <c:v>-0.4894219291797981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814752"/>
        <c:axId val="406817472"/>
      </c:scatterChart>
      <c:valAx>
        <c:axId val="40681475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817472"/>
        <c:crosses val="autoZero"/>
        <c:crossBetween val="midCat"/>
        <c:majorUnit val="1"/>
      </c:valAx>
      <c:valAx>
        <c:axId val="40681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81475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'T79 - 2'!$C$6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'T79 - 2'!$A$8:$A$248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'T79 - 2'!$F$8:$F$248</c:f>
              <c:numCache>
                <c:formatCode>0.0</c:formatCode>
                <c:ptCount val="241"/>
                <c:pt idx="0">
                  <c:v>0</c:v>
                </c:pt>
                <c:pt idx="1">
                  <c:v>5.3961938712835718</c:v>
                </c:pt>
                <c:pt idx="2">
                  <c:v>-38.678325588325265</c:v>
                </c:pt>
                <c:pt idx="3">
                  <c:v>22.586099303222909</c:v>
                </c:pt>
                <c:pt idx="4">
                  <c:v>26.764347422891774</c:v>
                </c:pt>
                <c:pt idx="5">
                  <c:v>26.764347422891774</c:v>
                </c:pt>
                <c:pt idx="6">
                  <c:v>27.748090547528363</c:v>
                </c:pt>
                <c:pt idx="7">
                  <c:v>-25.229513810303615</c:v>
                </c:pt>
                <c:pt idx="8">
                  <c:v>18.900563318124227</c:v>
                </c:pt>
                <c:pt idx="9">
                  <c:v>29.71586184002922</c:v>
                </c:pt>
                <c:pt idx="10">
                  <c:v>32.421939293370201</c:v>
                </c:pt>
                <c:pt idx="11">
                  <c:v>31.684013326924742</c:v>
                </c:pt>
                <c:pt idx="12">
                  <c:v>28.731928679736257</c:v>
                </c:pt>
                <c:pt idx="13">
                  <c:v>27.748090547528363</c:v>
                </c:pt>
                <c:pt idx="14">
                  <c:v>24.552873674970101</c:v>
                </c:pt>
                <c:pt idx="15">
                  <c:v>34.143363990784451</c:v>
                </c:pt>
                <c:pt idx="16">
                  <c:v>31.684013326924742</c:v>
                </c:pt>
                <c:pt idx="17">
                  <c:v>27.994269966866455</c:v>
                </c:pt>
                <c:pt idx="18">
                  <c:v>25.290283230149498</c:v>
                </c:pt>
                <c:pt idx="19">
                  <c:v>24.061601897033825</c:v>
                </c:pt>
                <c:pt idx="20">
                  <c:v>20.865711758318525</c:v>
                </c:pt>
                <c:pt idx="21">
                  <c:v>15.952179977737956</c:v>
                </c:pt>
                <c:pt idx="22">
                  <c:v>13.00556332664371</c:v>
                </c:pt>
                <c:pt idx="23">
                  <c:v>12.514847973781912</c:v>
                </c:pt>
                <c:pt idx="24">
                  <c:v>13.742137613637396</c:v>
                </c:pt>
                <c:pt idx="25">
                  <c:v>13.987978847362683</c:v>
                </c:pt>
                <c:pt idx="26">
                  <c:v>8.8320387156410334</c:v>
                </c:pt>
                <c:pt idx="27">
                  <c:v>13.00556332664371</c:v>
                </c:pt>
                <c:pt idx="28">
                  <c:v>13.00556332664371</c:v>
                </c:pt>
                <c:pt idx="29">
                  <c:v>13.00556332664371</c:v>
                </c:pt>
                <c:pt idx="30">
                  <c:v>13.987978847362683</c:v>
                </c:pt>
                <c:pt idx="31">
                  <c:v>11.778362386969434</c:v>
                </c:pt>
                <c:pt idx="32">
                  <c:v>12.023242506745873</c:v>
                </c:pt>
                <c:pt idx="33">
                  <c:v>11.532574452607037</c:v>
                </c:pt>
                <c:pt idx="34">
                  <c:v>11.532574452607037</c:v>
                </c:pt>
                <c:pt idx="35">
                  <c:v>11.041930022017709</c:v>
                </c:pt>
                <c:pt idx="36">
                  <c:v>11.287706122930217</c:v>
                </c:pt>
                <c:pt idx="37">
                  <c:v>11.041930022017709</c:v>
                </c:pt>
                <c:pt idx="38">
                  <c:v>11.041930022017709</c:v>
                </c:pt>
                <c:pt idx="39">
                  <c:v>10.550395601674836</c:v>
                </c:pt>
                <c:pt idx="40">
                  <c:v>10.059798454531347</c:v>
                </c:pt>
                <c:pt idx="41">
                  <c:v>10.550395601674836</c:v>
                </c:pt>
                <c:pt idx="42">
                  <c:v>10.059798454531347</c:v>
                </c:pt>
                <c:pt idx="43">
                  <c:v>10.059798454531347</c:v>
                </c:pt>
                <c:pt idx="44">
                  <c:v>10.550395601674836</c:v>
                </c:pt>
                <c:pt idx="45">
                  <c:v>9.8140519647217843</c:v>
                </c:pt>
                <c:pt idx="46">
                  <c:v>9.8140519647217843</c:v>
                </c:pt>
                <c:pt idx="47">
                  <c:v>9.5683114005847756</c:v>
                </c:pt>
                <c:pt idx="48">
                  <c:v>10.059798454531347</c:v>
                </c:pt>
                <c:pt idx="49">
                  <c:v>9.5683114005847756</c:v>
                </c:pt>
                <c:pt idx="50">
                  <c:v>9.8140519647217843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978944"/>
        <c:axId val="646984928"/>
      </c:scatterChart>
      <c:valAx>
        <c:axId val="64697894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984928"/>
        <c:crosses val="autoZero"/>
        <c:crossBetween val="midCat"/>
        <c:majorUnit val="1"/>
      </c:valAx>
      <c:valAx>
        <c:axId val="64698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9789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'T80'!$C$6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'T80'!$A$8:$A$248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'T80'!$F$8:$F$248</c:f>
              <c:numCache>
                <c:formatCode>0.0</c:formatCode>
                <c:ptCount val="241"/>
                <c:pt idx="0">
                  <c:v>41.549095861657861</c:v>
                </c:pt>
                <c:pt idx="1">
                  <c:v>36.978091435833903</c:v>
                </c:pt>
                <c:pt idx="2">
                  <c:v>120.28659367639034</c:v>
                </c:pt>
                <c:pt idx="3">
                  <c:v>19.673360793311986</c:v>
                </c:pt>
                <c:pt idx="4">
                  <c:v>23.036853924367847</c:v>
                </c:pt>
                <c:pt idx="5">
                  <c:v>26.159991262496987</c:v>
                </c:pt>
                <c:pt idx="6">
                  <c:v>30.245743965071711</c:v>
                </c:pt>
                <c:pt idx="7">
                  <c:v>35.053593503197362</c:v>
                </c:pt>
                <c:pt idx="8">
                  <c:v>36.978091435833903</c:v>
                </c:pt>
                <c:pt idx="9">
                  <c:v>155.01107633531763</c:v>
                </c:pt>
                <c:pt idx="10">
                  <c:v>166.20516740481105</c:v>
                </c:pt>
                <c:pt idx="11">
                  <c:v>138.96989679336457</c:v>
                </c:pt>
                <c:pt idx="12">
                  <c:v>165.71833142204764</c:v>
                </c:pt>
                <c:pt idx="13">
                  <c:v>167.42190072420749</c:v>
                </c:pt>
                <c:pt idx="14">
                  <c:v>164.74472927772933</c:v>
                </c:pt>
                <c:pt idx="15">
                  <c:v>164.01413042661204</c:v>
                </c:pt>
                <c:pt idx="16">
                  <c:v>160.84941854821693</c:v>
                </c:pt>
                <c:pt idx="17">
                  <c:v>159.14603210083885</c:v>
                </c:pt>
                <c:pt idx="18">
                  <c:v>106.71971717616407</c:v>
                </c:pt>
                <c:pt idx="19">
                  <c:v>154.03849722270706</c:v>
                </c:pt>
                <c:pt idx="20">
                  <c:v>153.55224249011337</c:v>
                </c:pt>
                <c:pt idx="21">
                  <c:v>149.41772586656612</c:v>
                </c:pt>
                <c:pt idx="22">
                  <c:v>150.87688311045804</c:v>
                </c:pt>
                <c:pt idx="23">
                  <c:v>147.71716519084339</c:v>
                </c:pt>
                <c:pt idx="24">
                  <c:v>146.01505828194718</c:v>
                </c:pt>
                <c:pt idx="25">
                  <c:v>144.79996454037973</c:v>
                </c:pt>
                <c:pt idx="26">
                  <c:v>139.21313069873383</c:v>
                </c:pt>
                <c:pt idx="27">
                  <c:v>138.72666869439558</c:v>
                </c:pt>
                <c:pt idx="28">
                  <c:v>130.23104512332111</c:v>
                </c:pt>
                <c:pt idx="29">
                  <c:v>121.49876779268868</c:v>
                </c:pt>
                <c:pt idx="30">
                  <c:v>124.65219104967093</c:v>
                </c:pt>
                <c:pt idx="31">
                  <c:v>120.5302948167564</c:v>
                </c:pt>
                <c:pt idx="32">
                  <c:v>105.26686793264389</c:v>
                </c:pt>
                <c:pt idx="33">
                  <c:v>111.80540841356026</c:v>
                </c:pt>
                <c:pt idx="34">
                  <c:v>97.523046803851116</c:v>
                </c:pt>
                <c:pt idx="35">
                  <c:v>100.91047276277823</c:v>
                </c:pt>
                <c:pt idx="36">
                  <c:v>28.802835248644215</c:v>
                </c:pt>
                <c:pt idx="37">
                  <c:v>90.510397897361599</c:v>
                </c:pt>
                <c:pt idx="38">
                  <c:v>88.093548811914729</c:v>
                </c:pt>
                <c:pt idx="39">
                  <c:v>83.260658341132739</c:v>
                </c:pt>
                <c:pt idx="40">
                  <c:v>69.017272556163107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976224"/>
        <c:axId val="646985472"/>
      </c:scatterChart>
      <c:valAx>
        <c:axId val="64697622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985472"/>
        <c:crosses val="autoZero"/>
        <c:crossBetween val="midCat"/>
        <c:majorUnit val="1"/>
      </c:valAx>
      <c:valAx>
        <c:axId val="64698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9762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'T81'!$C$6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'T81'!$A$8:$A$248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'T81'!$F$8:$F$248</c:f>
              <c:numCache>
                <c:formatCode>0.0</c:formatCode>
                <c:ptCount val="241"/>
                <c:pt idx="0">
                  <c:v>0</c:v>
                </c:pt>
                <c:pt idx="1">
                  <c:v>3.9027974823842442</c:v>
                </c:pt>
                <c:pt idx="2">
                  <c:v>6.0987775007620257</c:v>
                </c:pt>
                <c:pt idx="3">
                  <c:v>17.327331341273862</c:v>
                </c:pt>
                <c:pt idx="4">
                  <c:v>20.74800546653637</c:v>
                </c:pt>
                <c:pt idx="5">
                  <c:v>24.168915467350644</c:v>
                </c:pt>
                <c:pt idx="6">
                  <c:v>27.835515618415911</c:v>
                </c:pt>
                <c:pt idx="7">
                  <c:v>31.259717958405645</c:v>
                </c:pt>
                <c:pt idx="8">
                  <c:v>33.704455205834051</c:v>
                </c:pt>
                <c:pt idx="9">
                  <c:v>36.39635276272918</c:v>
                </c:pt>
                <c:pt idx="10">
                  <c:v>39.088047998370826</c:v>
                </c:pt>
                <c:pt idx="11">
                  <c:v>41.046755636575995</c:v>
                </c:pt>
                <c:pt idx="12">
                  <c:v>43.493841943178381</c:v>
                </c:pt>
                <c:pt idx="13">
                  <c:v>44.963472659175522</c:v>
                </c:pt>
                <c:pt idx="14">
                  <c:v>45.943344234995493</c:v>
                </c:pt>
                <c:pt idx="15">
                  <c:v>48.147485559870574</c:v>
                </c:pt>
                <c:pt idx="16">
                  <c:v>48.882610090991307</c:v>
                </c:pt>
                <c:pt idx="17">
                  <c:v>49.862858643415507</c:v>
                </c:pt>
                <c:pt idx="18">
                  <c:v>50.35210378826298</c:v>
                </c:pt>
                <c:pt idx="19">
                  <c:v>50.35210378826298</c:v>
                </c:pt>
                <c:pt idx="20">
                  <c:v>49.372722578868206</c:v>
                </c:pt>
                <c:pt idx="21">
                  <c:v>46.678309757965053</c:v>
                </c:pt>
                <c:pt idx="22">
                  <c:v>47.413328297092903</c:v>
                </c:pt>
                <c:pt idx="23">
                  <c:v>46.188326852497653</c:v>
                </c:pt>
                <c:pt idx="24">
                  <c:v>46.188326852497653</c:v>
                </c:pt>
                <c:pt idx="25">
                  <c:v>43.00492597345044</c:v>
                </c:pt>
                <c:pt idx="26">
                  <c:v>40.311282557110871</c:v>
                </c:pt>
                <c:pt idx="27">
                  <c:v>38.843236010900341</c:v>
                </c:pt>
                <c:pt idx="28">
                  <c:v>39.577689616291764</c:v>
                </c:pt>
                <c:pt idx="29">
                  <c:v>36.39635276272918</c:v>
                </c:pt>
                <c:pt idx="30">
                  <c:v>34.68415788123707</c:v>
                </c:pt>
                <c:pt idx="31">
                  <c:v>26.368352363805229</c:v>
                </c:pt>
                <c:pt idx="32">
                  <c:v>30.770475766103232</c:v>
                </c:pt>
                <c:pt idx="33">
                  <c:v>23.92446153040612</c:v>
                </c:pt>
                <c:pt idx="34">
                  <c:v>24.413375265975787</c:v>
                </c:pt>
                <c:pt idx="35">
                  <c:v>24.168915467350644</c:v>
                </c:pt>
                <c:pt idx="36">
                  <c:v>19.770552894102138</c:v>
                </c:pt>
                <c:pt idx="37">
                  <c:v>18.793194018161216</c:v>
                </c:pt>
                <c:pt idx="38">
                  <c:v>14.153840797440694</c:v>
                </c:pt>
                <c:pt idx="39">
                  <c:v>13.177020112467972</c:v>
                </c:pt>
                <c:pt idx="40">
                  <c:v>14.153840797440694</c:v>
                </c:pt>
                <c:pt idx="41">
                  <c:v>8.7824845606411373</c:v>
                </c:pt>
                <c:pt idx="42">
                  <c:v>1.9512120785888101</c:v>
                </c:pt>
                <c:pt idx="43">
                  <c:v>2.4390734240625989</c:v>
                </c:pt>
                <c:pt idx="44">
                  <c:v>1.9512120785888101</c:v>
                </c:pt>
                <c:pt idx="45">
                  <c:v>1.9512120785888101</c:v>
                </c:pt>
                <c:pt idx="46">
                  <c:v>0.97555938361927019</c:v>
                </c:pt>
                <c:pt idx="47">
                  <c:v>1.2203739107037563</c:v>
                </c:pt>
                <c:pt idx="48">
                  <c:v>0.48776802913789652</c:v>
                </c:pt>
                <c:pt idx="49">
                  <c:v>0</c:v>
                </c:pt>
                <c:pt idx="50">
                  <c:v>0.24479111407561049</c:v>
                </c:pt>
                <c:pt idx="51">
                  <c:v>-2.4375805769922181</c:v>
                </c:pt>
                <c:pt idx="52">
                  <c:v>-4.1441772154520322</c:v>
                </c:pt>
                <c:pt idx="53">
                  <c:v>-5.3630000454827496</c:v>
                </c:pt>
                <c:pt idx="54">
                  <c:v>-5.6067471386480747</c:v>
                </c:pt>
                <c:pt idx="55">
                  <c:v>-4.8754883872454684</c:v>
                </c:pt>
                <c:pt idx="56">
                  <c:v>-5.850488408256183</c:v>
                </c:pt>
                <c:pt idx="57">
                  <c:v>-5.6067471386480747</c:v>
                </c:pt>
                <c:pt idx="58">
                  <c:v>-5.850488408256183</c:v>
                </c:pt>
                <c:pt idx="59">
                  <c:v>-5.3630000454827496</c:v>
                </c:pt>
                <c:pt idx="60">
                  <c:v>-5.850488408256183</c:v>
                </c:pt>
                <c:pt idx="61">
                  <c:v>-5.850488408256183</c:v>
                </c:pt>
                <c:pt idx="62">
                  <c:v>-5.6067471386480747</c:v>
                </c:pt>
                <c:pt idx="63">
                  <c:v>-5.3630000454827496</c:v>
                </c:pt>
                <c:pt idx="64">
                  <c:v>-5.850488408256183</c:v>
                </c:pt>
                <c:pt idx="65">
                  <c:v>-6.3379534780561926</c:v>
                </c:pt>
                <c:pt idx="66">
                  <c:v>-5.6067471386480747</c:v>
                </c:pt>
                <c:pt idx="67">
                  <c:v>-6.3379534780561926</c:v>
                </c:pt>
                <c:pt idx="68">
                  <c:v>-5.6067471386480747</c:v>
                </c:pt>
                <c:pt idx="69">
                  <c:v>-5.3630000454827496</c:v>
                </c:pt>
                <c:pt idx="70">
                  <c:v>-6.3379534780561926</c:v>
                </c:pt>
                <c:pt idx="71">
                  <c:v>-5.6067471386480747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974048"/>
        <c:axId val="646983840"/>
      </c:scatterChart>
      <c:valAx>
        <c:axId val="646974048"/>
        <c:scaling>
          <c:orientation val="minMax"/>
          <c:max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983840"/>
        <c:crosses val="autoZero"/>
        <c:crossBetween val="midCat"/>
        <c:majorUnit val="0.5"/>
      </c:valAx>
      <c:valAx>
        <c:axId val="6469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9740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19047</xdr:colOff>
      <xdr:row>0</xdr:row>
      <xdr:rowOff>9525</xdr:rowOff>
    </xdr:from>
    <xdr:to>
      <xdr:col>40</xdr:col>
      <xdr:colOff>323849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P1_flight_data_raw_68" growShrinkType="overwriteClear" adjustColumnWidth="0" connectionId="64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1_flight_data_raw_14" growShrinkType="overwriteClear" adjustColumnWidth="0" connectionId="4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1_flight_data_true_16" growShrinkType="overwriteClear" adjustColumnWidth="0" connectionId="110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1_flight_data_raw_63" growShrinkType="overwriteClear" adjustColumnWidth="0" connectionId="5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1_flight_data_raw_60" growShrinkType="overwriteClear" adjustColumnWidth="0" connectionId="55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1_flight_data_true_56" growShrinkType="overwriteClear" adjustColumnWidth="0" connectionId="105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1_flight_data_raw_44" growShrinkType="overwriteClear" adjustColumnWidth="0" connectionId="3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1_flight_data_true_10" growShrinkType="overwriteClear" adjustColumnWidth="0" connectionId="13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1_flight_data_raw_48" growShrinkType="overwriteClear" adjustColumnWidth="0" connectionId="4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1_flight_data_true_71" growShrinkType="overwriteClear" adjustColumnWidth="0" connectionId="12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1_flight_data_true_60" growShrinkType="overwriteClear" adjustColumnWidth="0" connectionId="109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1_flight_data_true" growShrinkType="overwriteClear" adjustColumnWidth="0" connectionId="133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1_flight_data_true_37" growShrinkType="overwriteClear" adjustColumnWidth="0" connectionId="84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1_flight_data_raw_18" growShrinkType="overwriteClear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1_flight_data_raw_34" growShrinkType="overwriteClear" adjustColumnWidth="0" connectionId="26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1_flight_data_true_14" growShrinkType="overwriteClear" adjustColumnWidth="0" connectionId="88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1_flight_data_true_4" growShrinkType="overwriteClear" adjustColumnWidth="0" connectionId="13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1_flight_data_true_22" growShrinkType="overwriteClear" adjustColumnWidth="0" connectionId="67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1_flight_data_true_39" growShrinkType="overwriteClear" adjustColumnWidth="0" connectionId="8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1_flight_data_true_11" growShrinkType="overwriteClear" adjustColumnWidth="0" connectionId="6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1_flight_data_raw_1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1_flight_data_true_73" growShrinkType="overwriteClear" adjustColumnWidth="0" connectionId="12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1_flight_data_true_59" growShrinkType="overwriteClear" adjustColumnWidth="0" connectionId="10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1_flight_data_raw_35" growShrinkType="overwriteClear" adjustColumnWidth="0" connectionId="27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1_flight_data_true_58" growShrinkType="overwriteClear" adjustColumnWidth="0" connectionId="107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1_flight_data_true_50" growShrinkType="overwriteClear" adjustColumnWidth="0" connectionId="9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1_flight_data_true_72" growShrinkType="overwriteClear" adjustColumnWidth="0" connectionId="12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1_flight_data_true_9" growShrinkType="overwriteClear" adjustColumnWidth="0" connectionId="137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1_flight_data_true_26" growShrinkType="overwriteClear" adjustColumnWidth="0" connectionId="7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1_flight_data_true_65" growShrinkType="overwriteClear" adjustColumnWidth="0" connectionId="11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1_flight_data_true_38" growShrinkType="overwriteClear" adjustColumnWidth="0" connectionId="8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1_flight_data_raw_10" growShrinkType="overwriteClear" adjustColumnWidth="0" connectionId="6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1_flight_data_true_55" growShrinkType="overwriteClear" adjustColumnWidth="0" connectionId="10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1_flight_data_raw_27" growShrinkType="overwriteClear" adjustColumnWidth="0" connectionId="18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1_flight_data_true_64" growShrinkType="overwriteClear" adjustColumnWidth="0" connectionId="114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1_flight_data_raw_16" growShrinkType="overwriteClear" adjustColumnWidth="0" connectionId="6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1_flight_data_raw_7" growShrinkType="overwriteClear" adjustColumnWidth="0" connectionId="52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1_flight_data_true_57" growShrinkType="overwriteClear" adjustColumnWidth="0" connectionId="106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1_flight_data_true_29" growShrinkType="overwriteClear" adjustColumnWidth="0" connectionId="7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1_flight_data_raw_47" growShrinkType="overwriteClear" adjustColumnWidth="0" connectionId="40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1_flight_data_true_31" growShrinkType="overwriteClear" adjustColumnWidth="0" connectionId="77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1_flight_data_raw_52" growShrinkType="overwriteClear" adjustColumnWidth="0" connectionId="4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1_flight_data_raw_6" growShrinkType="overwriteClear" adjustColumnWidth="0" connectionId="4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1_flight_data_raw_28" growShrinkType="overwriteClear" adjustColumnWidth="0" connectionId="19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1_flight_data_raw_25" growShrinkType="overwriteClear" adjustColumnWidth="0" connectionId="1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1_flight_data_true_2" growShrinkType="overwriteClear" adjustColumnWidth="0" connectionId="139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1_flight_data_true_27" growShrinkType="overwriteClear" adjustColumnWidth="0" connectionId="73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1_flight_data_true_19" growShrinkType="overwriteClear" adjustColumnWidth="0" connectionId="129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1_flight_data_raw_64" growShrinkType="overwriteClear" adjustColumnWidth="0" connectionId="58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1_flight_data_raw_3" growShrinkType="overwriteClear" adjustColumnWidth="0" connectionId="11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1_flight_data_true_43" growShrinkType="overwriteClear" adjustColumnWidth="0" connectionId="9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1_flight_data_true_32" growShrinkType="overwriteClear" adjustColumnWidth="0" connectionId="78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1_flight_data_raw_19" growShrinkType="overwriteClear" adjustColumnWidth="0" connectionId="9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1_flight_data_raw_23" growShrinkType="overwriteClear" adjustColumnWidth="0" connectionId="14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1_flight_data_true_8" growShrinkType="overwriteClear" adjustColumnWidth="0" connectionId="133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1_flight_data_true_13" growShrinkType="overwriteClear" adjustColumnWidth="0" connectionId="77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1_flight_data_raw_33" growShrinkType="overwriteClear" adjustColumnWidth="0" connectionId="2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1_flight_data_true_78" growShrinkType="overwriteClear" adjustColumnWidth="0" connectionId="13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1_flight_data_raw_56" growShrinkType="overwriteClear" adjustColumnWidth="0" connectionId="50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1_flight_data_raw_38" growShrinkType="overwriteClear" adjustColumnWidth="0" connectionId="3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1_flight_data_true_12" growShrinkType="overwriteClear" adjustColumnWidth="0" connectionId="6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1_flight_data_raw_65" growShrinkType="overwriteClear" adjustColumnWidth="0" connectionId="62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1_flight_data_true_6" growShrinkType="overwriteClear" adjustColumnWidth="0" connectionId="136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1_flight_data_raw_51" growShrinkType="overwriteClear" adjustColumnWidth="0" connectionId="44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1_flight_data_true_51" growShrinkType="overwriteClear" adjustColumnWidth="0" connectionId="99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1_flight_data_true_3" growShrinkType="overwriteClear" adjustColumnWidth="0" connectionId="14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1_flight_data_true_30" growShrinkType="overwriteClear" adjustColumnWidth="0" connectionId="76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1_flight_data_true_47" growShrinkType="overwriteClear" adjustColumnWidth="0" connectionId="95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1_flight_data_raw_12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1_flight_data_true_5" growShrinkType="overwriteClear" adjustColumnWidth="0" connectionId="135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1_flight_data_true_49" growShrinkType="overwriteClear" adjustColumnWidth="0" connectionId="97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1_flight_data_raw_49" growShrinkType="overwriteClear" adjustColumnWidth="0" connectionId="42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1_flight_data_raw_57" growShrinkType="overwriteClear" adjustColumnWidth="0" connectionId="51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1_flight_data_raw_32" growShrinkType="overwriteClear" adjustColumnWidth="0" connectionId="23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1_flight_data_true_20" growShrinkType="overwriteClear" adjustColumnWidth="0" connectionId="132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1_flight_data_true_17" growShrinkType="overwriteClear" adjustColumnWidth="0" connectionId="118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1_flight_data_raw_13" growShrinkType="overwriteClear" adjustColumnWidth="0" connectionId="3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1_flight_data_raw_69" growShrinkType="overwriteClear" adjustColumnWidth="0" connectionId="65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1_flight_data_raw_61" growShrinkType="overwriteClear" adjustColumnWidth="0" connectionId="56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1_flight_data_raw_59" growShrinkType="overwriteClear" adjustColumnWidth="0" connectionId="5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1_flight_data_true_62" growShrinkType="overwriteClear" adjustColumnWidth="0" connectionId="11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1_flight_data_raw_22" growShrinkType="overwriteClear" adjustColumnWidth="0" connectionId="12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1_flight_data_raw_55" growShrinkType="overwriteClear" adjustColumnWidth="0" connectionId="49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1_flight_data_raw_36" growShrinkType="overwriteClear" adjustColumnWidth="0" connectionId="28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1_flight_data_raw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1_flight_data_raw_46" growShrinkType="overwriteClear" adjustColumnWidth="0" connectionId="39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1_flight_data_true_48" growShrinkType="overwriteClear" adjustColumnWidth="0" connectionId="96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1_flight_data_true_54" growShrinkType="overwriteClear" adjustColumnWidth="0" connectionId="103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1_flight_data_true_74" growShrinkType="overwriteClear" adjustColumnWidth="0" connectionId="124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1_flight_data_true_77" growShrinkType="overwriteClear" adjustColumnWidth="0" connectionId="130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1_flight_data_true_61" growShrinkType="overwriteClear" adjustColumnWidth="0" connectionId="110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1_flight_data_true_40" growShrinkType="overwriteClear" adjustColumnWidth="0" connectionId="87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1_flight_data_true_41" growShrinkType="overwriteClear" adjustColumnWidth="0" connectionId="88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1_flight_data_true_66" growShrinkType="overwriteClear" adjustColumnWidth="0" connectionId="116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1_flight_data_true_35" growShrinkType="overwriteClear" adjustColumnWidth="0" connectionId="82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1_flight_data_raw_4" growShrinkType="overwriteClear" adjustColumnWidth="0" connectionId="2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1_flight_data_raw_53" growShrinkType="overwriteClear" adjustColumnWidth="0" connectionId="47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1_flight_data_raw_31" growShrinkType="overwriteClear" adjustColumnWidth="0" connectionId="2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1_flight_data_true_18" growShrinkType="overwriteClear" adjustColumnWidth="0" connectionId="126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1_flight_data_true_21" growShrinkType="overwriteClear" adjustColumnWidth="0" connectionId="66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P1_flight_data_raw_30" growShrinkType="overwriteClear" adjustColumnWidth="0" connectionId="21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P1_flight_data_raw_50" growShrinkType="overwriteClear" adjustColumnWidth="0" connectionId="43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P1_flight_data_raw_62" growShrinkType="overwriteClear" adjustColumnWidth="0" connectionId="57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P1_flight_data_raw_39" growShrinkType="overwriteClear" adjustColumnWidth="0" connectionId="31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P1_flight_data_true_23" growShrinkType="overwriteClear" adjustColumnWidth="0" connectionId="69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P1_flight_data_true_79" growShrinkType="overwriteClear" adjustColumnWidth="0" connectionId="132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P1_flight_data_true_44" growShrinkType="overwriteClear" adjustColumnWidth="0" connectionId="9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P1_flight_data_true_24" growShrinkType="overwriteClear" adjustColumnWidth="0" connectionId="70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P1_flight_data_true_15" growShrinkType="overwriteClear" adjustColumnWidth="0" connectionId="99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P1_flight_data_raw_5" growShrinkType="overwriteClear" adjustColumnWidth="0" connectionId="33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P1_flight_data_raw_66" growShrinkType="overwriteClear" adjustColumnWidth="0" connectionId="63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P1_flight_data_true_45" growShrinkType="overwriteClear" adjustColumnWidth="0" connectionId="93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P1_flight_data_raw_24" growShrinkType="overwriteClear" adjustColumnWidth="0" connectionId="1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P1_flight_data_true_75" growShrinkType="overwriteClear" adjustColumnWidth="0" connectionId="129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P1_flight_data_true_63" growShrinkType="overwriteClear" adjustColumnWidth="0" connectionId="113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P1_flight_data_true_42" growShrinkType="overwriteClear" adjustColumnWidth="0" connectionId="89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P1_flight_data_raw_45" growShrinkType="overwriteClear" adjustColumnWidth="0" connectionId="38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P1_flight_data_raw_17" growShrinkType="overwriteClear" adjustColumnWidth="0" connectionId="7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P1_flight_data_true_67" growShrinkType="overwriteClear" adjustColumnWidth="0" connectionId="117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P1_flight_data_raw_21" growShrinkType="overwriteClear" adjustColumnWidth="0" connectionId="11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P1_flight_data_true_52" growShrinkType="overwriteClear" adjustColumnWidth="0" connectionId="100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P1_flight_data_true_76" growShrinkType="overwriteClear" adjustColumnWidth="0" connectionId="129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P1_flight_data_true_70" growShrinkType="overwriteClear" adjustColumnWidth="0" connectionId="121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P1_flight_data_raw_43" growShrinkType="overwriteClear" adjustColumnWidth="0" connectionId="36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P1_flight_data_true_68" growShrinkType="overwriteClear" adjustColumnWidth="0" connectionId="119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P1_flight_data_raw_54" growShrinkType="overwriteClear" adjustColumnWidth="0" connectionId="48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P1_flight_data_raw_40" growShrinkType="overwriteClear" adjustColumnWidth="0" connectionId="32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P1_flight_data_true_25" growShrinkType="overwriteClear" adjustColumnWidth="0" connectionId="71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P1_flight_data_true_34" growShrinkType="overwriteClear" adjustColumnWidth="0" connectionId="81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P1_flight_data_true_33" growShrinkType="overwriteClear" adjustColumnWidth="0" connectionId="80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P1_flight_data_raw_58" growShrinkType="overwriteClear" adjustColumnWidth="0" connectionId="52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P1_flight_data_raw_37" growShrinkType="overwriteClear" adjustColumnWidth="0" connectionId="29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P1_flight_data_true_69" growShrinkType="overwriteClear" adjustColumnWidth="0" connectionId="120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P1_flight_data_true_46" growShrinkType="overwriteClear" adjustColumnWidth="0" connectionId="94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P1_flight_data_true_36" growShrinkType="overwriteClear" adjustColumnWidth="0" connectionId="83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P1_flight_data_raw_8" growShrinkType="overwriteClear" adjustColumnWidth="0" connectionId="60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P1_flight_data_raw_67" growShrinkType="overwriteClear" adjustColumnWidth="0" connectionId="63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P1_flight_data_raw_29" growShrinkType="overwriteClear" adjustColumnWidth="0" connectionId="20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P1_flight_data_raw_26" growShrinkType="overwriteClear" adjustColumnWidth="0" connectionId="17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P1_flight_data_raw_15" growShrinkType="overwriteClear" adjustColumnWidth="0" connectionId="5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P1_flight_data_raw_11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P1_flight_data_raw_41" growShrinkType="overwriteClear" adjustColumnWidth="0" connectionId="33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P1_flight_data_raw_20" growShrinkType="overwriteClear" adjustColumnWidth="0" connectionId="10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P1_flight_data_true_28" growShrinkType="overwriteClear" adjustColumnWidth="0" connectionId="74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P1_flight_data_raw_42" growShrinkType="overwriteClear" adjustColumnWidth="0" connectionId="34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P1_flight_data_true_53" growShrinkType="overwriteClear" adjustColumnWidth="0" connectionId="102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P1_flight_data_raw_9" growShrinkType="overwriteClear" adjustColumnWidth="0" connectionId="63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P1_flight_data_true_29" growShrinkType="overwriteClear" adjustColumnWidth="0" connectionId="75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P1_flight_data_raw_41" growShrinkType="overwriteClear" adjustColumnWidth="0" connectionId="33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P1_flight_data_raw_34" growShrinkType="overwriteClear" adjustColumnWidth="0" connectionId="26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P1_flight_data_raw_40" growShrinkType="overwriteClear" adjustColumnWidth="0" connectionId="32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P1_flight_data_true_43" growShrinkType="overwriteClear" adjustColumnWidth="0" connectionId="91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P1_flight_data_raw_11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P1_flight_data_true_56" growShrinkType="overwriteClear" adjustColumnWidth="0" connectionId="105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P1_flight_data_true_34" growShrinkType="overwriteClear" adjustColumnWidth="0" connectionId="81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P1_flight_data_true_20" growShrinkType="overwriteClear" adjustColumnWidth="0" connectionId="132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P1_flight_data_raw_4" growShrinkType="overwriteClear" adjustColumnWidth="0" connectionId="23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P1_flight_data_true_11" growShrinkType="overwriteClear" adjustColumnWidth="0" connectionId="118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P1_flight_data_true_23" growShrinkType="overwriteClear" adjustColumnWidth="0" connectionId="69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P1_flight_data_true_21" growShrinkType="overwriteClear" adjustColumnWidth="0" connectionId="66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P1_flight_data_true_10" growShrinkType="overwriteClear" adjustColumnWidth="0" connectionId="138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P1_flight_data_true_67" growShrinkType="overwriteClear" adjustColumnWidth="0" connectionId="117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P1_flight_data_true_49" growShrinkType="overwriteClear" adjustColumnWidth="0" connectionId="97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P1_flight_data_true_47" growShrinkType="overwriteClear" adjustColumnWidth="0" connectionId="95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P1_flight_data_raw_58" growShrinkType="overwriteClear" adjustColumnWidth="0" connectionId="52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P1_flight_data_true_31" growShrinkType="overwriteClear" adjustColumnWidth="0" connectionId="77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P1_flight_data_raw_10" growShrinkType="overwriteClear" adjustColumnWidth="0" connectionId="65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P1_flight_data_raw_13" growShrinkType="overwriteClear" adjustColumnWidth="0" connectionId="3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P1_flight_data_true_45" growShrinkType="overwriteClear" adjustColumnWidth="0" connectionId="93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P1_flight_data_raw_14" growShrinkType="overwriteClear" adjustColumnWidth="0" connectionId="4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P1_flight_data_raw_56" growShrinkType="overwriteClear" adjustColumnWidth="0" connectionId="50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P1_flight_data_true_18" growShrinkType="overwriteClear" adjustColumnWidth="0" connectionId="127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P1_flight_data_true_32" growShrinkType="overwriteClear" adjustColumnWidth="0" connectionId="79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P1_flight_data_raw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P1_flight_data_true_16" growShrinkType="overwriteClear" adjustColumnWidth="0" connectionId="118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P1_flight_data_raw_20" growShrinkType="overwriteClear" adjustColumnWidth="0" connectionId="10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P1_flight_data_true_52" growShrinkType="overwriteClear" adjustColumnWidth="0" connectionId="101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P1_flight_data_true_63" growShrinkType="overwriteClear" adjustColumnWidth="0" connectionId="113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P1_flight_data_raw_47" growShrinkType="overwriteClear" adjustColumnWidth="0" connectionId="40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P1_flight_data_raw_24" growShrinkType="overwriteClear" adjustColumnWidth="0" connectionId="15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P1_flight_data_true_40" growShrinkType="overwriteClear" adjustColumnWidth="0" connectionId="87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P1_flight_data_true_4" growShrinkType="overwriteClear" adjustColumnWidth="0" connectionId="134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P1_flight_data_raw_23" growShrinkType="overwriteClear" adjustColumnWidth="0" connectionId="14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P1_flight_data_raw_32" growShrinkType="overwriteClear" adjustColumnWidth="0" connectionId="23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P1_flight_data_true_57" growShrinkType="overwriteClear" adjustColumnWidth="0" connectionId="106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P1_flight_data_raw_9" growShrinkType="overwriteClear" adjustColumnWidth="0" connectionId="64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P1_flight_data_true_59" growShrinkType="overwriteClear" adjustColumnWidth="0" connectionId="108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P1_flight_data_raw_50" growShrinkType="overwriteClear" adjustColumnWidth="0" connectionId="43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P1_flight_data_raw_37" growShrinkType="overwriteClear" adjustColumnWidth="0" connectionId="29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P1_flight_data_raw_17" growShrinkType="overwriteClear" adjustColumnWidth="0" connectionId="7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P1_flight_data_true_53" growShrinkType="overwriteClear" adjustColumnWidth="0" connectionId="102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P1_flight_data_true_27" growShrinkType="overwriteClear" adjustColumnWidth="0" connectionId="73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P1_flight_data_true_26" growShrinkType="overwriteClear" adjustColumnWidth="0" connectionId="72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P1_flight_data_true_17" growShrinkType="overwriteClear" adjustColumnWidth="0" connectionId="119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P1_flight_data_true_41" growShrinkType="overwriteClear" adjustColumnWidth="0" connectionId="88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P1_flight_data_true_13" growShrinkType="overwriteClear" adjustColumnWidth="0" connectionId="78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P1_flight_data_raw_59" growShrinkType="overwriteClear" adjustColumnWidth="0" connectionId="54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P1_flight_data_raw_5" growShrinkType="overwriteClear" adjustColumnWidth="0" connectionId="34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P1_flight_data_raw_19" growShrinkType="overwriteClear" adjustColumnWidth="0" connectionId="9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P1_flight_data_raw_25" growShrinkType="overwriteClear" adjustColumnWidth="0" connectionId="16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P1_flight_data_true_65" growShrinkType="overwriteClear" adjustColumnWidth="0" connectionId="115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P1_flight_data_true_51" growShrinkType="overwriteClear" adjustColumnWidth="0" connectionId="99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P1_flight_data_raw_48" growShrinkType="overwriteClear" adjustColumnWidth="0" connectionId="41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P1_flight_data_raw_18" growShrinkType="overwriteClear" adjustColumnWidth="0" connectionId="8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P1_flight_data_true_35" growShrinkType="overwriteClear" adjustColumnWidth="0" connectionId="82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P1_flight_data_true" growShrinkType="overwriteClear" adjustColumnWidth="0" connectionId="138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P1_flight_data_true_68" growShrinkType="overwriteClear" adjustColumnWidth="0" connectionId="118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P1_flight_data_raw_39" growShrinkType="overwriteClear" adjustColumnWidth="0" connectionId="31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P1_flight_data_raw_22" growShrinkType="overwriteClear" adjustColumnWidth="0" connectionId="12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P1_flight_data_true_25" growShrinkType="overwriteClear" adjustColumnWidth="0" connectionId="71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P1_flight_data_raw_31" growShrinkType="overwriteClear" adjustColumnWidth="0" connectionId="22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P1_flight_data_true_55" growShrinkType="overwriteClear" adjustColumnWidth="0" connectionId="104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P1_flight_data_true_60" growShrinkType="overwriteClear" adjustColumnWidth="0" connectionId="109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P1_flight_data_raw_15" growShrinkType="overwriteClear" adjustColumnWidth="0" connectionId="5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P1_flight_data_true_54" growShrinkType="overwriteClear" adjustColumnWidth="0" connectionId="103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P1_flight_data_raw_28" growShrinkType="overwriteClear" adjustColumnWidth="0" connectionId="19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P1_flight_data_raw_51" growShrinkType="overwriteClear" adjustColumnWidth="0" connectionId="44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P1_flight_data_raw_53" growShrinkType="overwriteClear" adjustColumnWidth="0" connectionId="47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P1_flight_data_true_5" growShrinkType="overwriteClear" adjustColumnWidth="0" connectionId="135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P1_flight_data_raw_1" growShrinkType="overwriteClear" adjustColumnWidth="0" connectionId="52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P1_flight_data_raw_27" growShrinkType="overwriteClear" adjustColumnWidth="0" connectionId="18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P1_flight_data_true_62" growShrinkType="overwriteClear" adjustColumnWidth="0" connectionId="112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P1_flight_data_raw_45" growShrinkType="overwriteClear" adjustColumnWidth="0" connectionId="383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P1_flight_data_true_50" growShrinkType="overwriteClear" adjustColumnWidth="0" connectionId="98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P1_flight_data_raw_36" growShrinkType="overwriteClear" adjustColumnWidth="0" connectionId="28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P1_flight_data_raw_38" growShrinkType="overwriteClear" adjustColumnWidth="0" connectionId="30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P1_flight_data_true_42" growShrinkType="overwriteClear" adjustColumnWidth="0" connectionId="90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P1_flight_data_true_66" growShrinkType="overwriteClear" adjustColumnWidth="0" connectionId="116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P1_flight_data_raw_8" growShrinkType="overwriteClear" adjustColumnWidth="0" connectionId="61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P1_flight_data_true_8" growShrinkType="overwriteClear" adjustColumnWidth="0" connectionId="133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P1_flight_data_raw_7" growShrinkType="overwriteClear" adjustColumnWidth="0" connectionId="53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P1_flight_data_true_22" growShrinkType="overwriteClear" adjustColumnWidth="0" connectionId="68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P1_flight_data_true_9" growShrinkType="overwriteClear" adjustColumnWidth="0" connectionId="137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P1_flight_data_true_19" growShrinkType="overwriteClear" adjustColumnWidth="0" connectionId="130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P1_flight_data_raw_46" growShrinkType="overwriteClear" adjustColumnWidth="0" connectionId="39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P1_flight_data_raw_42" growShrinkType="overwriteClear" adjustColumnWidth="0" connectionId="34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P1_flight_data_raw_49" growShrinkType="overwriteClear" adjustColumnWidth="0" connectionId="42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P1_flight_data_raw_52" growShrinkType="overwriteClear" adjustColumnWidth="0" connectionId="46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P1_flight_data_raw_6" growShrinkType="overwriteClear" adjustColumnWidth="0" connectionId="52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P1_flight_data_true_33" growShrinkType="overwriteClear" adjustColumnWidth="0" connectionId="80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P1_flight_data_raw_57" growShrinkType="overwriteClear" adjustColumnWidth="0" connectionId="51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P1_flight_data_true_58" growShrinkType="overwriteClear" adjustColumnWidth="0" connectionId="107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P1_flight_data_true_64" growShrinkType="overwriteClear" adjustColumnWidth="0" connectionId="114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P1_flight_data_true_61" growShrinkType="overwriteClear" adjustColumnWidth="0" connectionId="110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P1_flight_data_raw_43" growShrinkType="overwriteClear" adjustColumnWidth="0" connectionId="36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P1_flight_data_raw_26" growShrinkType="overwriteClear" adjustColumnWidth="0" connectionId="17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P1_flight_data_true_3" growShrinkType="overwriteClear" adjustColumnWidth="0" connectionId="141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P1_flight_data_true_24" growShrinkType="overwriteClear" adjustColumnWidth="0" connectionId="70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P1_flight_data_true_14" growShrinkType="overwriteClear" adjustColumnWidth="0" connectionId="89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P1_flight_data_raw_3" growShrinkType="overwriteClear" adjustColumnWidth="0" connectionId="12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P1_flight_data_true_30" growShrinkType="overwriteClear" adjustColumnWidth="0" connectionId="76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P1_flight_data_true_38" growShrinkType="overwriteClear" adjustColumnWidth="0" connectionId="85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P1_flight_data_raw_33" growShrinkType="overwriteClear" adjustColumnWidth="0" connectionId="25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P1_flight_data_true_2" growShrinkType="overwriteClear" adjustColumnWidth="0" connectionId="140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P1_flight_data_raw_54" growShrinkType="overwriteClear" adjustColumnWidth="0" connectionId="48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P1_flight_data_true_37" growShrinkType="overwriteClear" adjustColumnWidth="0" connectionId="84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P1_flight_data_true_28" growShrinkType="overwriteClear" adjustColumnWidth="0" connectionId="74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P1_flight_data_true_15" growShrinkType="overwriteClear" adjustColumnWidth="0" connectionId="100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P1_flight_data_true_39" growShrinkType="overwriteClear" adjustColumnWidth="0" connectionId="86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P1_flight_data_true_69" growShrinkType="overwriteClear" adjustColumnWidth="0" connectionId="120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P1_flight_data_raw_21" growShrinkType="overwriteClear" adjustColumnWidth="0" connectionId="11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P1_flight_data_raw_55" growShrinkType="overwriteClear" adjustColumnWidth="0" connectionId="49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P1_flight_data_raw_44" growShrinkType="overwriteClear" adjustColumnWidth="0" connectionId="37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P1_flight_data_raw_35" growShrinkType="overwriteClear" adjustColumnWidth="0" connectionId="27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P1_flight_data_raw_16" growShrinkType="overwriteClear" adjustColumnWidth="0" connectionId="6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P1_flight_data_true_12" growShrinkType="overwriteClear" adjustColumnWidth="0" connectionId="67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P1_flight_data_raw_29" growShrinkType="overwriteClear" adjustColumnWidth="0" connectionId="20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P1_flight_data_true_46" growShrinkType="overwriteClear" adjustColumnWidth="0" connectionId="94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P1_flight_data_true_48" growShrinkType="overwriteClear" adjustColumnWidth="0" connectionId="96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P1_flight_data_true_44" growShrinkType="overwriteClear" adjustColumnWidth="0" connectionId="92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P1_flight_data_true_6" growShrinkType="overwriteClear" adjustColumnWidth="0" connectionId="136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P1_flight_data_raw_12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P1_flight_data_true_36" growShrinkType="overwriteClear" adjustColumnWidth="0" connectionId="83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P1_flight_data_raw_30" growShrinkType="overwriteClear" adjustColumnWidth="0" connectionId="21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P1_flight_data_raw_16" growShrinkType="overwriteClear" adjustColumnWidth="0" connectionId="6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P1_flight_data_true_48" growShrinkType="overwriteClear" adjustColumnWidth="0" connectionId="969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P1_flight_data_true_33" growShrinkType="overwriteClear" adjustColumnWidth="0" connectionId="80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P1_flight_data_true_32" growShrinkType="overwriteClear" adjustColumnWidth="0" connectionId="79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P1_flight_data_raw_53" growShrinkType="overwriteClear" adjustColumnWidth="0" connectionId="47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P1_flight_data_raw_35" growShrinkType="overwriteClear" adjustColumnWidth="0" connectionId="27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P1_flight_data_raw_31" growShrinkType="overwriteClear" adjustColumnWidth="0" connectionId="225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P1_flight_data_raw_7" growShrinkType="overwriteClear" adjustColumnWidth="0" connectionId="53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P1_flight_data_true_47" growShrinkType="overwriteClear" adjustColumnWidth="0" connectionId="95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P1_flight_data_true_2" growShrinkType="overwriteClear" adjustColumnWidth="0" connectionId="140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P1_flight_data_raw_26" growShrinkType="overwriteClear" adjustColumnWidth="0" connectionId="17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P1_flight_data_true_11" growShrinkType="overwriteClear" adjustColumnWidth="0" connectionId="126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P1_flight_data_raw_9" growShrinkType="overwriteClear" adjustColumnWidth="0" connectionId="64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P1_flight_data_true_37" growShrinkType="overwriteClear" adjustColumnWidth="0" connectionId="84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P1_flight_data_true_12" growShrinkType="overwriteClear" adjustColumnWidth="0" connectionId="68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P1_flight_data_true_34" growShrinkType="overwriteClear" adjustColumnWidth="0" connectionId="81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P1_flight_data_true_31" growShrinkType="overwriteClear" adjustColumnWidth="0" connectionId="78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P1_flight_data_true_21" growShrinkType="overwriteClear" adjustColumnWidth="0" connectionId="67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P1_flight_data_true_54" growShrinkType="overwriteClear" adjustColumnWidth="0" connectionId="103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P1_flight_data_true_45" growShrinkType="overwriteClear" adjustColumnWidth="0" connectionId="93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P1_flight_data_raw_58" growShrinkType="overwriteClear" adjustColumnWidth="0" connectionId="52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P1_flight_data_true_74" growShrinkType="overwriteClear" adjustColumnWidth="0" connectionId="124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P1_flight_data_raw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P1_flight_data_raw_52" growShrinkType="overwriteClear" adjustColumnWidth="0" connectionId="46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P1_flight_data_true_50" growShrinkType="overwriteClear" adjustColumnWidth="0" connectionId="98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P1_flight_data_raw_33" growShrinkType="overwriteClear" adjustColumnWidth="0" connectionId="25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P1_flight_data_raw_19" growShrinkType="overwriteClear" adjustColumnWidth="0" connectionId="9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P1_flight_data_true_24" growShrinkType="overwriteClear" adjustColumnWidth="0" connectionId="70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P1_flight_data_raw_29" growShrinkType="overwriteClear" adjustColumnWidth="0" connectionId="20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P1_flight_data_true_16" growShrinkType="overwriteClear" adjustColumnWidth="0" connectionId="111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P1_flight_data_raw_18" growShrinkType="overwriteClear" adjustColumnWidth="0" connectionId="8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P1_flight_data_true" growShrinkType="overwriteClear" adjustColumnWidth="0" connectionId="139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P1_flight_data_true_69" growShrinkType="overwriteClear" adjustColumnWidth="0" connectionId="120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P1_flight_data_true_23" growShrinkType="overwriteClear" adjustColumnWidth="0" connectionId="69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P1_flight_data_raw_46" growShrinkType="overwriteClear" adjustColumnWidth="0" connectionId="39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P1_flight_data_raw_15" growShrinkType="overwriteClear" adjustColumnWidth="0" connectionId="5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P1_flight_data_raw_47" growShrinkType="overwriteClear" adjustColumnWidth="0" connectionId="40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P1_flight_data_true_51" growShrinkType="overwriteClear" adjustColumnWidth="0" connectionId="100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P1_flight_data_raw_37" growShrinkType="overwriteClear" adjustColumnWidth="0" connectionId="29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P1_flight_data_raw_34" growShrinkType="overwriteClear" adjustColumnWidth="0" connectionId="26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P1_flight_data_raw_43" growShrinkType="overwriteClear" adjustColumnWidth="0" connectionId="36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P1_flight_data_true_66" growShrinkType="overwriteClear" adjustColumnWidth="0" connectionId="116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P1_flight_data_true_64" growShrinkType="overwriteClear" adjustColumnWidth="0" connectionId="1148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P1_flight_data_true_43" growShrinkType="overwriteClear" adjustColumnWidth="0" connectionId="91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P1_flight_data_true_26" growShrinkType="overwriteClear" adjustColumnWidth="0" connectionId="72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P1_flight_data_raw_14" growShrinkType="overwriteClear" adjustColumnWidth="0" connectionId="4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P1_flight_data_true_38" growShrinkType="overwriteClear" adjustColumnWidth="0" connectionId="85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P1_flight_data_true_9" growShrinkType="overwriteClear" adjustColumnWidth="0" connectionId="137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P1_flight_data_true_58" growShrinkType="overwriteClear" adjustColumnWidth="0" connectionId="107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P1_flight_data_raw_1" growShrinkType="overwriteClear" adjustColumnWidth="0" connectionId="59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P1_flight_data_raw_61" growShrinkType="overwriteClear" adjustColumnWidth="0" connectionId="56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P1_flight_data_raw_24" growShrinkType="overwriteClear" adjustColumnWidth="0" connectionId="15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P1_flight_data_raw_4" growShrinkType="overwriteClear" adjustColumnWidth="0" connectionId="24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P1_flight_data_true_18" growShrinkType="overwriteClear" adjustColumnWidth="0" connectionId="127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P1_flight_data_raw_10" growShrinkType="overwriteClear" adjustColumnWidth="0" connectionId="65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P1_flight_data_true_70" growShrinkType="overwriteClear" adjustColumnWidth="0" connectionId="121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P1_flight_data_raw_41" growShrinkType="overwriteClear" adjustColumnWidth="0" connectionId="33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P1_flight_data_raw_63" growShrinkType="overwriteClear" adjustColumnWidth="0" connectionId="58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P1_flight_data_true_68" growShrinkType="overwriteClear" adjustColumnWidth="0" connectionId="119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P1_flight_data_raw_8" growShrinkType="overwriteClear" adjustColumnWidth="0" connectionId="6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P1_flight_data_raw_27" growShrinkType="overwriteClear" adjustColumnWidth="0" connectionId="18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P1_flight_data_raw_23" growShrinkType="overwriteClear" adjustColumnWidth="0" connectionId="144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P1_flight_data_true_27" growShrinkType="overwriteClear" adjustColumnWidth="0" connectionId="73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P1_flight_data_true_5" growShrinkType="overwriteClear" adjustColumnWidth="0" connectionId="135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P1_flight_data_true_8" growShrinkType="overwriteClear" adjustColumnWidth="0" connectionId="133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P1_flight_data_true_29" growShrinkType="overwriteClear" adjustColumnWidth="0" connectionId="75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P1_flight_data_true_36" growShrinkType="overwriteClear" adjustColumnWidth="0" connectionId="83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P1_flight_data_raw_56" growShrinkType="overwriteClear" adjustColumnWidth="0" connectionId="50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P1_flight_data_true_67" growShrinkType="overwriteClear" adjustColumnWidth="0" connectionId="117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P1_flight_data_raw_57" growShrinkType="overwriteClear" adjustColumnWidth="0" connectionId="5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P1_flight_data_raw_25" growShrinkType="overwriteClear" adjustColumnWidth="0" connectionId="16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P1_flight_data_true_57" growShrinkType="overwriteClear" adjustColumnWidth="0" connectionId="106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P1_flight_data_true_56" growShrinkType="overwriteClear" adjustColumnWidth="0" connectionId="105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P1_flight_data_true_52" growShrinkType="overwriteClear" adjustColumnWidth="0" connectionId="101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P1_flight_data_true_63" growShrinkType="overwriteClear" adjustColumnWidth="0" connectionId="113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P1_flight_data_true_3" growShrinkType="overwriteClear" adjustColumnWidth="0" connectionId="141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P1_flight_data_true_55" growShrinkType="overwriteClear" adjustColumnWidth="0" connectionId="104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P1_flight_data_true_39" growShrinkType="overwriteClear" adjustColumnWidth="0" connectionId="86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P1_flight_data_raw_11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P1_flight_data_raw_38" growShrinkType="overwriteClear" adjustColumnWidth="0" connectionId="30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P1_flight_data_true_14" growShrinkType="overwriteClear" adjustColumnWidth="0" connectionId="90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P1_flight_data_raw_55" growShrinkType="overwriteClear" adjustColumnWidth="0" connectionId="49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P1_flight_data_true_53" growShrinkType="overwriteClear" adjustColumnWidth="0" connectionId="102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P1_flight_data_raw_51" growShrinkType="overwriteClear" adjustColumnWidth="0" connectionId="44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P1_flight_data_true_30" growShrinkType="overwriteClear" adjustColumnWidth="0" connectionId="76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P1_flight_data_true_49" growShrinkType="overwriteClear" adjustColumnWidth="0" connectionId="97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P1_flight_data_raw_12" growShrinkType="overwriteClear" adjustColumnWidth="0" connectionId="1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P1_flight_data_raw_36" growShrinkType="overwriteClear" adjustColumnWidth="0" connectionId="28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P1_flight_data_raw_39" growShrinkType="overwriteClear" adjustColumnWidth="0" connectionId="31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P1_flight_data_raw_45" growShrinkType="overwriteClear" adjustColumnWidth="0" connectionId="38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P1_flight_data_raw_42" growShrinkType="overwriteClear" adjustColumnWidth="0" connectionId="35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P1_flight_data_raw_21" growShrinkType="overwriteClear" adjustColumnWidth="0" connectionId="11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P1_flight_data_true_59" growShrinkType="overwriteClear" adjustColumnWidth="0" connectionId="108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P1_flight_data_true_10" growShrinkType="overwriteClear" adjustColumnWidth="0" connectionId="138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P1_flight_data_true_22" growShrinkType="overwriteClear" adjustColumnWidth="0" connectionId="68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P1_flight_data_raw_17" growShrinkType="overwriteClear" adjustColumnWidth="0" connectionId="7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P1_flight_data_raw_13" growShrinkType="overwriteClear" adjustColumnWidth="0" connectionId="3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P1_flight_data_true_60" growShrinkType="overwriteClear" adjustColumnWidth="0" connectionId="109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P1_flight_data_true_42" growShrinkType="overwriteClear" adjustColumnWidth="0" connectionId="90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P1_flight_data_true_19" growShrinkType="overwriteClear" adjustColumnWidth="0" connectionId="130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P1_flight_data_raw_3" growShrinkType="overwriteClear" adjustColumnWidth="0" connectionId="13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P1_flight_data_raw_59" growShrinkType="overwriteClear" adjustColumnWidth="0" connectionId="54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P1_flight_data_true_41" growShrinkType="overwriteClear" adjustColumnWidth="0" connectionId="89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P1_flight_data_true_15" growShrinkType="overwriteClear" adjustColumnWidth="0" connectionId="101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P1_flight_data_raw_64" growShrinkType="overwriteClear" adjustColumnWidth="0" connectionId="59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P1_flight_data_true_4" growShrinkType="overwriteClear" adjustColumnWidth="0" connectionId="134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P1_flight_data_raw_49" growShrinkType="overwriteClear" adjustColumnWidth="0" connectionId="42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P1_flight_data_raw_20" growShrinkType="overwriteClear" adjustColumnWidth="0" connectionId="10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P1_flight_data_true_28" growShrinkType="overwriteClear" adjustColumnWidth="0" connectionId="74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P1_flight_data_true_25" growShrinkType="overwriteClear" adjustColumnWidth="0" connectionId="71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P1_flight_data_true_20" growShrinkType="overwriteClear" adjustColumnWidth="0" connectionId="132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P1_flight_data_true_40" growShrinkType="overwriteClear" adjustColumnWidth="0" connectionId="87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P1_flight_data_raw_6" growShrinkType="overwriteClear" adjustColumnWidth="0" connectionId="45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P1_flight_data_true_13" growShrinkType="overwriteClear" adjustColumnWidth="0" connectionId="79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P1_flight_data_true_6" growShrinkType="overwriteClear" adjustColumnWidth="0" connectionId="136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P1_flight_data_raw_30" growShrinkType="overwriteClear" adjustColumnWidth="0" connectionId="21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P1_flight_data_raw_5" growShrinkType="overwriteClear" adjustColumnWidth="0" connectionId="346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P1_flight_data_true_35" growShrinkType="overwriteClear" adjustColumnWidth="0" connectionId="82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P1_flight_data_raw_50" growShrinkType="overwriteClear" adjustColumnWidth="0" connectionId="43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P1_flight_data_true_65" growShrinkType="overwriteClear" adjustColumnWidth="0" connectionId="115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P1_flight_data_raw_22" growShrinkType="overwriteClear" adjustColumnWidth="0" connectionId="12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P1_flight_data_raw_60" growShrinkType="overwriteClear" adjustColumnWidth="0" connectionId="55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P1_flight_data_raw_44" growShrinkType="overwriteClear" adjustColumnWidth="0" connectionId="37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P1_flight_data_raw_40" growShrinkType="overwriteClear" adjustColumnWidth="0" connectionId="32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P1_flight_data_true_62" growShrinkType="overwriteClear" adjustColumnWidth="0" connectionId="112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P1_flight_data_raw_32" growShrinkType="overwriteClear" adjustColumnWidth="0" connectionId="23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P1_flight_data_true_46" growShrinkType="overwriteClear" adjustColumnWidth="0" connectionId="94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P1_flight_data_raw_62" growShrinkType="overwriteClear" adjustColumnWidth="0" connectionId="57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P1_flight_data_true_17" growShrinkType="overwriteClear" adjustColumnWidth="0" connectionId="125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P1_flight_data_true_71" growShrinkType="overwriteClear" adjustColumnWidth="0" connectionId="122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P1_flight_data_raw_54" growShrinkType="overwriteClear" adjustColumnWidth="0" connectionId="483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P1_flight_data_true_44" growShrinkType="overwriteClear" adjustColumnWidth="0" connectionId="92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P1_flight_data_true_73" growShrinkType="overwriteClear" adjustColumnWidth="0" connectionId="124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P1_flight_data_raw_28" growShrinkType="overwriteClear" adjustColumnWidth="0" connectionId="19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P1_flight_data_raw_48" growShrinkType="overwriteClear" adjustColumnWidth="0" connectionId="41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P1_flight_data_true_72" growShrinkType="overwriteClear" adjustColumnWidth="0" connectionId="123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P1_flight_data_true_61" growShrinkType="overwriteClear" adjustColumnWidth="0" connectionId="111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P1_flight_data_raw_39" growShrinkType="overwriteClear" adjustColumnWidth="0" connectionId="31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P1_flight_data_true_61" growShrinkType="overwriteClear" adjustColumnWidth="0" connectionId="111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P1_flight_data_true_15" growShrinkType="overwriteClear" adjustColumnWidth="0" connectionId="101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P1_flight_data_true_14" growShrinkType="overwriteClear" adjustColumnWidth="0" connectionId="90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P1_flight_data_raw_18" growShrinkType="overwriteClear" adjustColumnWidth="0" connectionId="8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P1_flight_data_raw_41" growShrinkType="overwriteClear" adjustColumnWidth="0" connectionId="33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P1_flight_data_true_64" growShrinkType="overwriteClear" adjustColumnWidth="0" connectionId="114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P1_flight_data_raw_29" growShrinkType="overwriteClear" adjustColumnWidth="0" connectionId="20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P1_flight_data_raw_19" growShrinkType="overwriteClear" adjustColumnWidth="0" connectionId="9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P1_flight_data_true_52" growShrinkType="overwriteClear" adjustColumnWidth="0" connectionId="101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P1_flight_data_true_16" growShrinkType="overwriteClear" adjustColumnWidth="0" connectionId="112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P1_flight_data_raw_53" growShrinkType="overwriteClear" adjustColumnWidth="0" connectionId="47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P1_flight_data_raw_28" growShrinkType="overwriteClear" adjustColumnWidth="0" connectionId="19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P1_flight_data_true_4" growShrinkType="overwriteClear" adjustColumnWidth="0" connectionId="1343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P1_flight_data_raw_6" growShrinkType="overwriteClear" adjustColumnWidth="0" connectionId="45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P1_flight_data_raw_48" growShrinkType="overwriteClear" adjustColumnWidth="0" connectionId="41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P1_flight_data_raw_61" growShrinkType="overwriteClear" adjustColumnWidth="0" connectionId="56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P1_flight_data_raw_10" growShrinkType="overwriteClear" adjustColumnWidth="0" connectionId="65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P1_flight_data_raw_3" growShrinkType="overwriteClear" adjustColumnWidth="0" connectionId="13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P1_flight_data_raw_20" growShrinkType="overwriteClear" adjustColumnWidth="0" connectionId="10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P1_flight_data_true_30" growShrinkType="overwriteClear" adjustColumnWidth="0" connectionId="77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P1_flight_data_raw_63" growShrinkType="overwriteClear" adjustColumnWidth="0" connectionId="58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P1_flight_data_raw_42" growShrinkType="overwriteClear" adjustColumnWidth="0" connectionId="35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P1_flight_data_true_33" growShrinkType="overwriteClear" adjustColumnWidth="0" connectionId="81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P1_flight_data_raw_64" growShrinkType="overwriteClear" adjustColumnWidth="0" connectionId="59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P1_flight_data_raw_26" growShrinkType="overwriteClear" adjustColumnWidth="0" connectionId="17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P1_flight_data_raw_38" growShrinkType="overwriteClear" adjustColumnWidth="0" connectionId="30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P1_flight_data_raw_36" growShrinkType="overwriteClear" adjustColumnWidth="0" connectionId="28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P1_flight_data_raw_34" growShrinkType="overwriteClear" adjustColumnWidth="0" connectionId="26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P1_flight_data_true_11" growShrinkType="overwriteClear" adjustColumnWidth="0" connectionId="126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P1_flight_data_true_49" growShrinkType="overwriteClear" adjustColumnWidth="0" connectionId="98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P1_flight_data_raw_43" growShrinkType="overwriteClear" adjustColumnWidth="0" connectionId="36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P1_flight_data_true_34" growShrinkType="overwriteClear" adjustColumnWidth="0" connectionId="82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P1_flight_data_true_63" growShrinkType="overwriteClear" adjustColumnWidth="0" connectionId="113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P1_flight_data_true_10" growShrinkType="overwriteClear" adjustColumnWidth="0" connectionId="138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P1_flight_data_true_56" growShrinkType="overwriteClear" adjustColumnWidth="0" connectionId="106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P1_flight_data_raw_27" growShrinkType="overwriteClear" adjustColumnWidth="0" connectionId="18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P1_flight_data_raw_9" growShrinkType="overwriteClear" adjustColumnWidth="0" connectionId="64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P1_flight_data_true_47" growShrinkType="overwriteClear" adjustColumnWidth="0" connectionId="960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P1_flight_data_true_58" growShrinkType="overwriteClear" adjustColumnWidth="0" connectionId="108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P1_flight_data_raw_35" growShrinkType="overwriteClear" adjustColumnWidth="0" connectionId="27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P1_flight_data_true_74" growShrinkType="overwriteClear" adjustColumnWidth="0" connectionId="125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P1_flight_data_true_21" growShrinkType="overwriteClear" adjustColumnWidth="0" connectionId="67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P1_flight_data_raw_32" growShrinkType="overwriteClear" adjustColumnWidth="0" connectionId="23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P1_flight_data_raw_7" growShrinkType="overwriteClear" adjustColumnWidth="0" connectionId="53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P1_flight_data_true_70" growShrinkType="overwriteClear" adjustColumnWidth="0" connectionId="121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P1_flight_data_raw_58" growShrinkType="overwriteClear" adjustColumnWidth="0" connectionId="527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P1_flight_data_raw_57" growShrinkType="overwriteClear" adjustColumnWidth="0" connectionId="51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P1_flight_data_raw_13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P1_flight_data_true_17" growShrinkType="overwriteClear" adjustColumnWidth="0" connectionId="125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P1_flight_data_raw_45" growShrinkType="overwriteClear" adjustColumnWidth="0" connectionId="38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P1_flight_data_true_19" growShrinkType="overwriteClear" adjustColumnWidth="0" connectionId="130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P1_flight_data_true_75" growShrinkType="overwriteClear" adjustColumnWidth="0" connectionId="127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P1_flight_data_raw_62" growShrinkType="overwriteClear" adjustColumnWidth="0" connectionId="57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P1_flight_data_true_13" growShrinkType="overwriteClear" adjustColumnWidth="0" connectionId="79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P1_flight_data_true_40" growShrinkType="overwriteClear" adjustColumnWidth="0" connectionId="88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P1_flight_data_true_73" growShrinkType="overwriteClear" adjustColumnWidth="0" connectionId="124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P1_flight_data_raw_24" growShrinkType="overwriteClear" adjustColumnWidth="0" connectionId="15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P1_flight_data_raw_33" growShrinkType="overwriteClear" adjustColumnWidth="0" connectionId="25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P1_flight_data_true_2" growShrinkType="overwriteClear" adjustColumnWidth="0" connectionId="140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P1_flight_data_true_41" growShrinkType="overwriteClear" adjustColumnWidth="0" connectionId="89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P1_flight_data_true_57" growShrinkType="overwriteClear" adjustColumnWidth="0" connectionId="107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P1_flight_data_true_67" growShrinkType="overwriteClear" adjustColumnWidth="0" connectionId="117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P1_flight_data_raw_14" growShrinkType="overwriteClear" adjustColumnWidth="0" connectionId="4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P1_flight_data_true_38" growShrinkType="overwriteClear" adjustColumnWidth="0" connectionId="86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P1_flight_data_true_28" growShrinkType="overwriteClear" adjustColumnWidth="0" connectionId="75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P1_flight_data_raw_8" growShrinkType="overwriteClear" adjustColumnWidth="0" connectionId="61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P1_flight_data_true_72" growShrinkType="overwriteClear" adjustColumnWidth="0" connectionId="123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P1_flight_data_raw_49" growShrinkType="overwriteClear" adjustColumnWidth="0" connectionId="42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P1_flight_data_true_12" growShrinkType="overwriteClear" adjustColumnWidth="0" connectionId="68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P1_flight_data_true_48" growShrinkType="overwriteClear" adjustColumnWidth="0" connectionId="97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P1_flight_data_true_39" growShrinkType="overwriteClear" adjustColumnWidth="0" connectionId="87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P1_flight_data_true_35" growShrinkType="overwriteClear" adjustColumnWidth="0" connectionId="83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P1_flight_data_raw_52" growShrinkType="overwriteClear" adjustColumnWidth="0" connectionId="46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P1_flight_data_raw_60" growShrinkType="overwriteClear" adjustColumnWidth="0" connectionId="55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P1_flight_data_raw_17" growShrinkType="overwriteClear" adjustColumnWidth="0" connectionId="7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P1_flight_data_true_42" growShrinkType="overwriteClear" adjustColumnWidth="0" connectionId="90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P1_flight_data_raw" growShrinkType="overwriteClear" adjustColumnWidth="0" connectionId="2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P1_flight_data_true_59" growShrinkType="overwriteClear" adjustColumnWidth="0" connectionId="109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P1_flight_data_raw_51" growShrinkType="overwriteClear" adjustColumnWidth="0" connectionId="44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P1_flight_data_raw_5" growShrinkType="overwriteClear" adjustColumnWidth="0" connectionId="34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P1_flight_data_true_50" growShrinkType="overwriteClear" adjustColumnWidth="0" connectionId="99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P1_flight_data_raw_23" growShrinkType="overwriteClear" adjustColumnWidth="0" connectionId="14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P1_flight_data_raw_55" growShrinkType="overwriteClear" adjustColumnWidth="0" connectionId="49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P1_flight_data_true_65" growShrinkType="overwriteClear" adjustColumnWidth="0" connectionId="1159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P1_flight_data_true_9" growShrinkType="overwriteClear" adjustColumnWidth="0" connectionId="137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P1_flight_data_raw_30" growShrinkType="overwriteClear" adjustColumnWidth="0" connectionId="21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P1_flight_data_true_45" growShrinkType="overwriteClear" adjustColumnWidth="0" connectionId="94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P1_flight_data_true_68" growShrinkType="overwriteClear" adjustColumnWidth="0" connectionId="119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P1_flight_data_raw_4" growShrinkType="overwriteClear" adjustColumnWidth="0" connectionId="24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P1_flight_data_true_44" growShrinkType="overwriteClear" adjustColumnWidth="0" connectionId="93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P1_flight_data_true_18" growShrinkType="overwriteClear" adjustColumnWidth="0" connectionId="127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P1_flight_data_true_22" growShrinkType="overwriteClear" adjustColumnWidth="0" connectionId="682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P1_flight_data_true_25" growShrinkType="overwriteClear" adjustColumnWidth="0" connectionId="72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P1_flight_data_true_60" growShrinkType="overwriteClear" adjustColumnWidth="0" connectionId="110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P1_flight_data_true_69" growShrinkType="overwriteClear" adjustColumnWidth="0" connectionId="120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P1_flight_data_true_32" growShrinkType="overwriteClear" adjustColumnWidth="0" connectionId="79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P1_flight_data_true_20" growShrinkType="overwriteClear" adjustColumnWidth="0" connectionId="132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P1_flight_data_raw_15" growShrinkType="overwriteClear" adjustColumnWidth="0" connectionId="5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P1_flight_data_raw_65" growShrinkType="overwriteClear" adjustColumnWidth="0" connectionId="605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P1_flight_data_raw_40" growShrinkType="overwriteClear" adjustColumnWidth="0" connectionId="32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P1_flight_data_raw_44" growShrinkType="overwriteClear" adjustColumnWidth="0" connectionId="37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P1_flight_data_raw_54" growShrinkType="overwriteClear" adjustColumnWidth="0" connectionId="48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P1_flight_data_raw_37" growShrinkType="overwriteClear" adjustColumnWidth="0" connectionId="29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P1_flight_data_true_46" growShrinkType="overwriteClear" adjustColumnWidth="0" connectionId="95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P1_flight_data_true_26" growShrinkType="overwriteClear" adjustColumnWidth="0" connectionId="73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P1_flight_data_raw_21" growShrinkType="overwriteClear" adjustColumnWidth="0" connectionId="11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P1_flight_data_raw_1" growShrinkType="overwriteClear" adjustColumnWidth="0" connectionId="59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P1_flight_data_true_55" growShrinkType="overwriteClear" adjustColumnWidth="0" connectionId="105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P1_flight_data_true" growShrinkType="overwriteClear" adjustColumnWidth="0" connectionId="139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P1_flight_data_raw_56" growShrinkType="overwriteClear" adjustColumnWidth="0" connectionId="50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P1_flight_data_true_43" growShrinkType="overwriteClear" adjustColumnWidth="0" connectionId="92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P1_flight_data_true_29" growShrinkType="overwriteClear" adjustColumnWidth="0" connectionId="76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P1_flight_data_raw_11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P1_flight_data_true_23" growShrinkType="overwriteClear" adjustColumnWidth="0" connectionId="70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P1_flight_data_raw_31" growShrinkType="overwriteClear" adjustColumnWidth="0" connectionId="226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P1_flight_data_true_62" growShrinkType="overwriteClear" adjustColumnWidth="0" connectionId="112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P1_flight_data_true_6" growShrinkType="overwriteClear" adjustColumnWidth="0" connectionId="136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P1_flight_data_true_24" growShrinkType="overwriteClear" adjustColumnWidth="0" connectionId="71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P1_flight_data_raw_12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P1_flight_data_true_53" growShrinkType="overwriteClear" adjustColumnWidth="0" connectionId="103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P1_flight_data_true_3" growShrinkType="overwriteClear" adjustColumnWidth="0" connectionId="141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P1_flight_data_true_66" growShrinkType="overwriteClear" adjustColumnWidth="0" connectionId="116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P1_flight_data_true_5" growShrinkType="overwriteClear" adjustColumnWidth="0" connectionId="135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P1_flight_data_raw_22" growShrinkType="overwriteClear" adjustColumnWidth="0" connectionId="12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P1_flight_data_true_37" growShrinkType="overwriteClear" adjustColumnWidth="0" connectionId="85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P1_flight_data_raw_46" growShrinkType="overwriteClear" adjustColumnWidth="0" connectionId="39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P1_flight_data_true_51" growShrinkType="overwriteClear" adjustColumnWidth="0" connectionId="100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P1_flight_data_true_8" growShrinkType="overwriteClear" adjustColumnWidth="0" connectionId="133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P1_flight_data_true_31" growShrinkType="overwriteClear" adjustColumnWidth="0" connectionId="781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P1_flight_data_raw_50" growShrinkType="overwriteClear" adjustColumnWidth="0" connectionId="43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P1_flight_data_true_36" growShrinkType="overwriteClear" adjustColumnWidth="0" connectionId="840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P1_flight_data_raw_59" growShrinkType="overwriteClear" adjustColumnWidth="0" connectionId="54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P1_flight_data_true_27" growShrinkType="overwriteClear" adjustColumnWidth="0" connectionId="74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P1_flight_data_true_71" growShrinkType="overwriteClear" adjustColumnWidth="0" connectionId="122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P1_flight_data_raw_16" growShrinkType="overwriteClear" adjustColumnWidth="0" connectionId="6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P1_flight_data_true_54" growShrinkType="overwriteClear" adjustColumnWidth="0" connectionId="104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P1_flight_data_raw_47" growShrinkType="overwriteClear" adjustColumnWidth="0" connectionId="40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P1_flight_data_raw_25" growShrinkType="overwriteClear" adjustColumnWidth="0" connectionId="16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P1_flight_data_true_49" growShrinkType="overwriteClear" adjustColumnWidth="0" connectionId="98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P1_flight_data_raw_47" growShrinkType="overwriteClear" adjustColumnWidth="0" connectionId="40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P1_flight_data_raw_46" growShrinkType="overwriteClear" adjustColumnWidth="0" connectionId="39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P1_flight_data_true_76" growShrinkType="overwriteClear" adjustColumnWidth="0" connectionId="128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P1_flight_data_raw_51" growShrinkType="overwriteClear" adjustColumnWidth="0" connectionId="447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P1_flight_data_raw_5" growShrinkType="overwriteClear" adjustColumnWidth="0" connectionId="34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P1_flight_data_raw_1" growShrinkType="overwriteClear" adjustColumnWidth="0" connectionId="60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P1_flight_data_true" growShrinkType="overwriteClear" adjustColumnWidth="0" connectionId="139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P1_flight_data_raw_8" growShrinkType="overwriteClear" adjustColumnWidth="0" connectionId="61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P1_flight_data_true_55" growShrinkType="overwriteClear" adjustColumnWidth="0" connectionId="105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P1_flight_data_true_50" growShrinkType="overwriteClear" adjustColumnWidth="0" connectionId="99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P1_flight_data_true_5" growShrinkType="overwriteClear" adjustColumnWidth="0" connectionId="135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P1_flight_data_true_9" growShrinkType="overwriteClear" adjustColumnWidth="0" connectionId="137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P1_flight_data_true_53" growShrinkType="overwriteClear" adjustColumnWidth="0" connectionId="103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P1_flight_data_raw_26" growShrinkType="overwriteClear" adjustColumnWidth="0" connectionId="17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P1_flight_data_raw_35" growShrinkType="overwriteClear" adjustColumnWidth="0" connectionId="27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P1_flight_data_true_47" growShrinkType="overwriteClear" adjustColumnWidth="0" connectionId="96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P1_flight_data_true_38" growShrinkType="overwriteClear" adjustColumnWidth="0" connectionId="86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P1_flight_data_true_51" growShrinkType="overwriteClear" adjustColumnWidth="0" connectionId="100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P1_flight_data_raw_20" growShrinkType="overwriteClear" adjustColumnWidth="0" connectionId="10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P1_flight_data_raw_17" growShrinkType="overwriteClear" adjustColumnWidth="0" connectionId="7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P1_flight_data_true_48" growShrinkType="overwriteClear" adjustColumnWidth="0" connectionId="971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P1_flight_data_raw_55" growShrinkType="overwriteClear" adjustColumnWidth="0" connectionId="49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P1_flight_data_true_43" growShrinkType="overwriteClear" adjustColumnWidth="0" connectionId="92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P1_flight_data_raw_24" growShrinkType="overwriteClear" adjustColumnWidth="0" connectionId="15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P1_flight_data_true_30" growShrinkType="overwriteClear" adjustColumnWidth="0" connectionId="77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P1_flight_data_true_61" growShrinkType="overwriteClear" adjustColumnWidth="0" connectionId="111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P1_flight_data_raw_25" growShrinkType="overwriteClear" adjustColumnWidth="0" connectionId="16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P1_flight_data_raw_36" growShrinkType="overwriteClear" adjustColumnWidth="0" connectionId="28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P1_flight_data_true_26" growShrinkType="overwriteClear" adjustColumnWidth="0" connectionId="73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P1_flight_data_true_65" growShrinkType="overwriteClear" adjustColumnWidth="0" connectionId="116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P1_flight_data_raw_29" growShrinkType="overwriteClear" adjustColumnWidth="0" connectionId="20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P1_flight_data_true_72" growShrinkType="overwriteClear" adjustColumnWidth="0" connectionId="1233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P1_flight_data_true_17" growShrinkType="overwriteClear" adjustColumnWidth="0" connectionId="1259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P1_flight_data_true_67" growShrinkType="overwriteClear" adjustColumnWidth="0" connectionId="1180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P1_flight_data_true_10" growShrinkType="overwriteClear" adjustColumnWidth="0" connectionId="138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P1_flight_data_raw_50" growShrinkType="overwriteClear" adjustColumnWidth="0" connectionId="43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P1_flight_data_raw_18" growShrinkType="overwriteClear" adjustColumnWidth="0" connectionId="8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P1_flight_data_true_71" growShrinkType="overwriteClear" adjustColumnWidth="0" connectionId="122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P1_flight_data_true_31" growShrinkType="overwriteClear" adjustColumnWidth="0" connectionId="78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P1_flight_data_raw_40" growShrinkType="overwriteClear" adjustColumnWidth="0" connectionId="326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P1_flight_data_true_40" growShrinkType="overwriteClear" adjustColumnWidth="0" connectionId="88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P1_flight_data_true_3" growShrinkType="overwriteClear" adjustColumnWidth="0" connectionId="141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P1_flight_data_true_27" growShrinkType="overwriteClear" adjustColumnWidth="0" connectionId="74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P1_flight_data_raw_13" growShrinkType="overwriteClear" adjustColumnWidth="0" connectionId="3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P1_flight_data_true_21" growShrinkType="overwriteClear" adjustColumnWidth="0" connectionId="67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P1_flight_data_true_2" growShrinkType="overwriteClear" adjustColumnWidth="0" connectionId="140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P1_flight_data_true_73" growShrinkType="overwriteClear" adjustColumnWidth="0" connectionId="124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P1_flight_data_true_13" growShrinkType="overwriteClear" adjustColumnWidth="0" connectionId="79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P1_flight_data_true_24" growShrinkType="overwriteClear" adjustColumnWidth="0" connectionId="711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P1_flight_data_true_64" growShrinkType="overwriteClear" adjustColumnWidth="0" connectionId="115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P1_flight_data_true_6" growShrinkType="overwriteClear" adjustColumnWidth="0" connectionId="1364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P1_flight_data_true_8" growShrinkType="overwriteClear" adjustColumnWidth="0" connectionId="133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P1_flight_data_raw_45" growShrinkType="overwriteClear" adjustColumnWidth="0" connectionId="38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P1_flight_data_raw_48" growShrinkType="overwriteClear" adjustColumnWidth="0" connectionId="41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P1_flight_data_raw_44" growShrinkType="overwriteClear" adjustColumnWidth="0" connectionId="37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P1_flight_data_true_25" growShrinkType="overwriteClear" adjustColumnWidth="0" connectionId="72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P1_flight_data_true_66" growShrinkType="overwriteClear" adjustColumnWidth="0" connectionId="1170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P1_flight_data_true_32" growShrinkType="overwriteClear" adjustColumnWidth="0" connectionId="799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P1_flight_data_raw_33" growShrinkType="overwriteClear" adjustColumnWidth="0" connectionId="25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P1_flight_data_raw_28" growShrinkType="overwriteClear" adjustColumnWidth="0" connectionId="19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P1_flight_data_true_41" growShrinkType="overwriteClear" adjustColumnWidth="0" connectionId="89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P1_flight_data_raw_12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P1_flight_data_raw_32" growShrinkType="overwriteClear" adjustColumnWidth="0" connectionId="238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P1_flight_data_true_75" growShrinkType="overwriteClear" adjustColumnWidth="0" connectionId="1280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P1_flight_data_raw_52" growShrinkType="overwriteClear" adjustColumnWidth="0" connectionId="46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P1_flight_data_true_68" growShrinkType="overwriteClear" adjustColumnWidth="0" connectionId="119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P1_flight_data_true_28" growShrinkType="overwriteClear" adjustColumnWidth="0" connectionId="75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P1_flight_data_raw_34" growShrinkType="overwriteClear" adjustColumnWidth="0" connectionId="26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P1_flight_data_true_45" growShrinkType="overwriteClear" adjustColumnWidth="0" connectionId="94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P1_flight_data_true_16" growShrinkType="overwriteClear" adjustColumnWidth="0" connectionId="112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P1_flight_data_raw_16" growShrinkType="overwriteClear" adjustColumnWidth="0" connectionId="6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P1_flight_data_raw_15" growShrinkType="overwriteClear" adjustColumnWidth="0" connectionId="5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P1_flight_data_raw_39" growShrinkType="overwriteClear" adjustColumnWidth="0" connectionId="31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P1_flight_data_true_19" growShrinkType="overwriteClear" adjustColumnWidth="0" connectionId="130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P1_flight_data_raw_63" growShrinkType="overwriteClear" adjustColumnWidth="0" connectionId="583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P1_flight_data_true_56" growShrinkType="overwriteClear" adjustColumnWidth="0" connectionId="106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P1_flight_data_raw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P1_flight_data_raw_43" growShrinkType="overwriteClear" adjustColumnWidth="0" connectionId="36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P1_flight_data_true_37" growShrinkType="overwriteClear" adjustColumnWidth="0" connectionId="85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P1_flight_data_true_59" growShrinkType="overwriteClear" adjustColumnWidth="0" connectionId="109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P1_flight_data_true_15" growShrinkType="overwriteClear" adjustColumnWidth="0" connectionId="101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P1_flight_data_true_18" growShrinkType="overwriteClear" adjustColumnWidth="0" connectionId="127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P1_flight_data_true_23" growShrinkType="overwriteClear" adjustColumnWidth="0" connectionId="70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P1_flight_data_true_52" growShrinkType="overwriteClear" adjustColumnWidth="0" connectionId="101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P1_flight_data_raw_59" growShrinkType="overwriteClear" adjustColumnWidth="0" connectionId="54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P1_flight_data_raw_9" growShrinkType="overwriteClear" adjustColumnWidth="0" connectionId="643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P1_flight_data_raw_37" growShrinkType="overwriteClear" adjustColumnWidth="0" connectionId="29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P1_flight_data_true_63" growShrinkType="overwriteClear" adjustColumnWidth="0" connectionId="1140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P1_flight_data_true_29" growShrinkType="overwriteClear" adjustColumnWidth="0" connectionId="76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P1_flight_data_true_57" growShrinkType="overwriteClear" adjustColumnWidth="0" connectionId="1071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P1_flight_data_true_12" growShrinkType="overwriteClear" adjustColumnWidth="0" connectionId="689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P1_flight_data_raw_41" growShrinkType="overwriteClear" adjustColumnWidth="0" connectionId="33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P1_flight_data_true_46" growShrinkType="overwriteClear" adjustColumnWidth="0" connectionId="95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P1_flight_data_raw_65" growShrinkType="overwriteClear" adjustColumnWidth="0" connectionId="60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P1_flight_data_raw_56" growShrinkType="overwriteClear" adjustColumnWidth="0" connectionId="505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P1_flight_data_true_4" growShrinkType="overwriteClear" adjustColumnWidth="0" connectionId="134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P1_flight_data_raw_62" growShrinkType="overwriteClear" adjustColumnWidth="0" connectionId="57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P1_flight_data_true_20" growShrinkType="overwriteClear" adjustColumnWidth="0" connectionId="132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P1_flight_data_true_33" growShrinkType="overwriteClear" adjustColumnWidth="0" connectionId="81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P1_flight_data_raw_42" growShrinkType="overwriteClear" adjustColumnWidth="0" connectionId="35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P1_flight_data_raw_30" growShrinkType="overwriteClear" adjustColumnWidth="0" connectionId="21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P1_flight_data_true_44" growShrinkType="overwriteClear" adjustColumnWidth="0" connectionId="93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P1_flight_data_raw_58" growShrinkType="overwriteClear" adjustColumnWidth="0" connectionId="528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P1_flight_data_raw_11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P1_flight_data_raw_6" growShrinkType="overwriteClear" adjustColumnWidth="0" connectionId="45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P1_flight_data_raw_64" growShrinkType="overwriteClear" adjustColumnWidth="0" connectionId="59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P1_flight_data_raw_4" growShrinkType="overwriteClear" adjustColumnWidth="0" connectionId="24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P1_flight_data_raw_27" growShrinkType="overwriteClear" adjustColumnWidth="0" connectionId="18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P1_flight_data_raw_22" growShrinkType="overwriteClear" adjustColumnWidth="0" connectionId="12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P1_flight_data_raw_19" growShrinkType="overwriteClear" adjustColumnWidth="0" connectionId="96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P1_flight_data_raw_7" growShrinkType="overwriteClear" adjustColumnWidth="0" connectionId="53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P1_flight_data_raw_53" growShrinkType="overwriteClear" adjustColumnWidth="0" connectionId="475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P1_flight_data_true_34" growShrinkType="overwriteClear" adjustColumnWidth="0" connectionId="82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P1_flight_data_raw_23" growShrinkType="overwriteClear" adjustColumnWidth="0" connectionId="14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P1_flight_data_raw_3" growShrinkType="overwriteClear" adjustColumnWidth="0" connectionId="13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P1_flight_data_true_22" growShrinkType="overwriteClear" adjustColumnWidth="0" connectionId="68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P1_flight_data_true_39" growShrinkType="overwriteClear" adjustColumnWidth="0" connectionId="87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P1_flight_data_raw_49" growShrinkType="overwriteClear" adjustColumnWidth="0" connectionId="42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P1_flight_data_true_69" growShrinkType="overwriteClear" adjustColumnWidth="0" connectionId="120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P1_flight_data_raw_10" growShrinkType="overwriteClear" adjustColumnWidth="0" connectionId="66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P1_flight_data_true_70" growShrinkType="overwriteClear" adjustColumnWidth="0" connectionId="121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P1_flight_data_true_62" growShrinkType="overwriteClear" adjustColumnWidth="0" connectionId="112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P1_flight_data_raw_38" growShrinkType="overwriteClear" adjustColumnWidth="0" connectionId="30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P1_flight_data_true_60" growShrinkType="overwriteClear" adjustColumnWidth="0" connectionId="110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P1_flight_data_true_74" growShrinkType="overwriteClear" adjustColumnWidth="0" connectionId="1251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P1_flight_data_true_54" growShrinkType="overwriteClear" adjustColumnWidth="0" connectionId="104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P1_flight_data_raw_66" growShrinkType="overwriteClear" adjustColumnWidth="0" connectionId="619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P1_flight_data_raw_61" growShrinkType="overwriteClear" adjustColumnWidth="0" connectionId="56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P1_flight_data_true_36" growShrinkType="overwriteClear" adjustColumnWidth="0" connectionId="84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P1_flight_data_raw_14" growShrinkType="overwriteClear" adjustColumnWidth="0" connectionId="4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P1_flight_data_true_11" growShrinkType="overwriteClear" adjustColumnWidth="0" connectionId="126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P1_flight_data_raw_21" growShrinkType="overwriteClear" adjustColumnWidth="0" connectionId="11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P1_flight_data_true_42" growShrinkType="overwriteClear" adjustColumnWidth="0" connectionId="903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P1_flight_data_true_14" growShrinkType="overwriteClear" adjustColumnWidth="0" connectionId="90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P1_flight_data_raw_54" growShrinkType="overwriteClear" adjustColumnWidth="0" connectionId="48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P1_flight_data_true_35" growShrinkType="overwriteClear" adjustColumnWidth="0" connectionId="83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P1_flight_data_true_58" growShrinkType="overwriteClear" adjustColumnWidth="0" connectionId="108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P1_flight_data_raw_31" growShrinkType="overwriteClear" adjustColumnWidth="0" connectionId="22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P1_flight_data_raw_57" growShrinkType="overwriteClear" adjustColumnWidth="0" connectionId="51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P1_flight_data_raw_60" growShrinkType="overwriteClear" adjustColumnWidth="0" connectionId="55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P1_flight_data_true_10" growShrinkType="overwriteClear" adjustColumnWidth="0" connectionId="138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P1_flight_data_true_9" growShrinkType="overwriteClear" adjustColumnWidth="0" connectionId="137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P1_flight_data_true_41" growShrinkType="overwriteClear" adjustColumnWidth="0" connectionId="89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P1_flight_data_raw_4" growShrinkType="overwriteClear" adjustColumnWidth="0" connectionId="24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P1_flight_data_raw_37" growShrinkType="overwriteClear" adjustColumnWidth="0" connectionId="297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P1_flight_data_raw_21" growShrinkType="overwriteClear" adjustColumnWidth="0" connectionId="11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P1_flight_data_true_4" growShrinkType="overwriteClear" adjustColumnWidth="0" connectionId="134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P1_flight_data_true_54" growShrinkType="overwriteClear" adjustColumnWidth="0" connectionId="104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P1_flight_data_raw_44" growShrinkType="overwriteClear" adjustColumnWidth="0" connectionId="37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P1_flight_data_raw_41" growShrinkType="overwriteClear" adjustColumnWidth="0" connectionId="33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P1_flight_data_raw_10" growShrinkType="overwriteClear" adjustColumnWidth="0" connectionId="66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P1_flight_data_true_2" growShrinkType="overwriteClear" adjustColumnWidth="0" connectionId="140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P1_flight_data_raw_19" growShrinkType="overwriteClear" adjustColumnWidth="0" connectionId="9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P1_flight_data_raw_8" growShrinkType="overwriteClear" adjustColumnWidth="0" connectionId="61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P1_flight_data_raw_58" growShrinkType="overwriteClear" adjustColumnWidth="0" connectionId="52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P1_flight_data_raw_57" growShrinkType="overwriteClear" adjustColumnWidth="0" connectionId="51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P1_flight_data_true_17" growShrinkType="overwriteClear" adjustColumnWidth="0" connectionId="126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P1_flight_data_true_14" growShrinkType="overwriteClear" adjustColumnWidth="0" connectionId="91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P1_flight_data_true_31" growShrinkType="overwriteClear" adjustColumnWidth="0" connectionId="78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P1_flight_data_raw_53" growShrinkType="overwriteClear" adjustColumnWidth="0" connectionId="47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P1_flight_data_raw_43" growShrinkType="overwriteClear" adjustColumnWidth="0" connectionId="36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P1_flight_data_raw" growShrinkType="overwriteClear" adjustColumnWidth="0" connectionId="2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P1_flight_data_raw_25" growShrinkType="overwriteClear" adjustColumnWidth="0" connectionId="16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P1_flight_data_raw_6" growShrinkType="overwriteClear" adjustColumnWidth="0" connectionId="45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P1_flight_data_raw_54" growShrinkType="overwriteClear" adjustColumnWidth="0" connectionId="48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P1_flight_data_raw_65" growShrinkType="overwriteClear" adjustColumnWidth="0" connectionId="60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P1_flight_data_raw_29" growShrinkType="overwriteClear" adjustColumnWidth="0" connectionId="20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P1_flight_data_raw_40" growShrinkType="overwriteClear" adjustColumnWidth="0" connectionId="32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P1_flight_data_raw_18" growShrinkType="overwriteClear" adjustColumnWidth="0" connectionId="8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P1_flight_data_true_20" growShrinkType="overwriteClear" adjustColumnWidth="0" connectionId="132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P1_flight_data_true_58" growShrinkType="overwriteClear" adjustColumnWidth="0" connectionId="108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P1_flight_data_raw_28" growShrinkType="overwriteClear" adjustColumnWidth="0" connectionId="19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P1_flight_data_true_45" growShrinkType="overwriteClear" adjustColumnWidth="0" connectionId="94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P1_flight_data_true_61" growShrinkType="overwriteClear" adjustColumnWidth="0" connectionId="111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P1_flight_data_raw_60" growShrinkType="overwriteClear" adjustColumnWidth="0" connectionId="557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P1_flight_data_true_60" growShrinkType="overwriteClear" adjustColumnWidth="0" connectionId="110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P1_flight_data_true_51" growShrinkType="overwriteClear" adjustColumnWidth="0" connectionId="100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P1_flight_data_true_8" growShrinkType="overwriteClear" adjustColumnWidth="0" connectionId="133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P1_flight_data_raw_48" growShrinkType="overwriteClear" adjustColumnWidth="0" connectionId="41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P1_flight_data_true_42" growShrinkType="overwriteClear" adjustColumnWidth="0" connectionId="904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P1_flight_data_true_32" growShrinkType="overwriteClear" adjustColumnWidth="0" connectionId="800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P1_flight_data_true_68" growShrinkType="overwriteClear" adjustColumnWidth="0" connectionId="119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P1_flight_data_true_5" growShrinkType="overwriteClear" adjustColumnWidth="0" connectionId="1355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P1_flight_data_true_18" growShrinkType="overwriteClear" adjustColumnWidth="0" connectionId="127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P1_flight_data_true_3" growShrinkType="overwriteClear" adjustColumnWidth="0" connectionId="141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P1_flight_data_true_19" growShrinkType="overwriteClear" adjustColumnWidth="0" connectionId="130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P1_flight_data_raw_51" growShrinkType="overwriteClear" adjustColumnWidth="0" connectionId="44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P1_flight_data_true_55" growShrinkType="overwriteClear" adjustColumnWidth="0" connectionId="105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P1_flight_data_true_75" growShrinkType="overwriteClear" adjustColumnWidth="0" connectionId="128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P1_flight_data_true_49" growShrinkType="overwriteClear" adjustColumnWidth="0" connectionId="98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P1_flight_data_raw_50" growShrinkType="overwriteClear" adjustColumnWidth="0" connectionId="43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P1_flight_data_true" growShrinkType="overwriteClear" adjustColumnWidth="0" connectionId="139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P1_flight_data_raw_52" growShrinkType="overwriteClear" adjustColumnWidth="0" connectionId="46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P1_flight_data_raw_33" growShrinkType="overwriteClear" adjustColumnWidth="0" connectionId="25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P1_flight_data_true_62" growShrinkType="overwriteClear" adjustColumnWidth="0" connectionId="112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P1_flight_data_raw_49" growShrinkType="overwriteClear" adjustColumnWidth="0" connectionId="42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P1_flight_data_raw_55" growShrinkType="overwriteClear" adjustColumnWidth="0" connectionId="49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P1_flight_data_true_69" growShrinkType="overwriteClear" adjustColumnWidth="0" connectionId="120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P1_flight_data_true_70" growShrinkType="overwriteClear" adjustColumnWidth="0" connectionId="121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P1_flight_data_true_52" growShrinkType="overwriteClear" adjustColumnWidth="0" connectionId="101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P1_flight_data_true_59" growShrinkType="overwriteClear" adjustColumnWidth="0" connectionId="109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P1_flight_data_true_44" growShrinkType="overwriteClear" adjustColumnWidth="0" connectionId="93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P1_flight_data_true_15" growShrinkType="overwriteClear" adjustColumnWidth="0" connectionId="102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P1_flight_data_true_24" growShrinkType="overwriteClear" adjustColumnWidth="0" connectionId="712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P1_flight_data_true_47" growShrinkType="overwriteClear" adjustColumnWidth="0" connectionId="96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P1_flight_data_raw_46" growShrinkType="overwriteClear" adjustColumnWidth="0" connectionId="39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P1_flight_data_true_35" growShrinkType="overwriteClear" adjustColumnWidth="0" connectionId="83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P1_flight_data_true_72" growShrinkType="overwriteClear" adjustColumnWidth="0" connectionId="1234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P1_flight_data_true_29" growShrinkType="overwriteClear" adjustColumnWidth="0" connectionId="76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P1_flight_data_true_21" growShrinkType="overwriteClear" adjustColumnWidth="0" connectionId="67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P1_flight_data_raw_22" growShrinkType="overwriteClear" adjustColumnWidth="0" connectionId="12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P1_flight_data_true_6" growShrinkType="overwriteClear" adjustColumnWidth="0" connectionId="1365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P1_flight_data_true_12" growShrinkType="overwriteClear" adjustColumnWidth="0" connectionId="69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P1_flight_data_raw_39" growShrinkType="overwriteClear" adjustColumnWidth="0" connectionId="317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P1_flight_data_true_36" growShrinkType="overwriteClear" adjustColumnWidth="0" connectionId="84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P1_flight_data_true_39" growShrinkType="overwriteClear" adjustColumnWidth="0" connectionId="872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P1_flight_data_true_26" growShrinkType="overwriteClear" adjustColumnWidth="0" connectionId="73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P1_flight_data_raw_45" growShrinkType="overwriteClear" adjustColumnWidth="0" connectionId="38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P1_flight_data_raw_63" growShrinkType="overwriteClear" adjustColumnWidth="0" connectionId="58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P1_flight_data_raw_24" growShrinkType="overwriteClear" adjustColumnWidth="0" connectionId="157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P1_flight_data_true_34" growShrinkType="overwriteClear" adjustColumnWidth="0" connectionId="82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P1_flight_data_raw_32" growShrinkType="overwriteClear" adjustColumnWidth="0" connectionId="23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P1_flight_data_true_22" growShrinkType="overwriteClear" adjustColumnWidth="0" connectionId="68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P1_flight_data_raw_20" growShrinkType="overwriteClear" adjustColumnWidth="0" connectionId="10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P1_flight_data_raw_9" growShrinkType="overwriteClear" adjustColumnWidth="0" connectionId="64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P1_flight_data_true_48" growShrinkType="overwriteClear" adjustColumnWidth="0" connectionId="97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P1_flight_data_true_63" growShrinkType="overwriteClear" adjustColumnWidth="0" connectionId="1141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P1_flight_data_raw_56" growShrinkType="overwriteClear" adjustColumnWidth="0" connectionId="506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P1_flight_data_true_71" growShrinkType="overwriteClear" adjustColumnWidth="0" connectionId="122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P1_flight_data_raw_13" growShrinkType="overwriteClear" adjustColumnWidth="0" connectionId="3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P1_flight_data_true_28" growShrinkType="overwriteClear" adjustColumnWidth="0" connectionId="75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P1_flight_data_true_64" growShrinkType="overwriteClear" adjustColumnWidth="0" connectionId="115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P1_flight_data_true_43" growShrinkType="overwriteClear" adjustColumnWidth="0" connectionId="92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P1_flight_data_raw_30" growShrinkType="overwriteClear" adjustColumnWidth="0" connectionId="21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P1_flight_data_raw_67" growShrinkType="overwriteClear" adjustColumnWidth="0" connectionId="62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P1_flight_data_true_33" growShrinkType="overwriteClear" adjustColumnWidth="0" connectionId="81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P1_flight_data_true_66" growShrinkType="overwriteClear" adjustColumnWidth="0" connectionId="1171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P1_flight_data_raw_23" growShrinkType="overwriteClear" adjustColumnWidth="0" connectionId="14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P1_flight_data_true_25" growShrinkType="overwriteClear" adjustColumnWidth="0" connectionId="72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P1_flight_data_raw_31" growShrinkType="overwriteClear" adjustColumnWidth="0" connectionId="22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P1_flight_data_raw_1" growShrinkType="overwriteClear" adjustColumnWidth="0" connectionId="60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P1_flight_data_raw_15" growShrinkType="overwriteClear" adjustColumnWidth="0" connectionId="5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P1_flight_data_true_50" growShrinkType="overwriteClear" adjustColumnWidth="0" connectionId="99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P1_flight_data_raw_12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P1_flight_data_raw_62" growShrinkType="overwriteClear" adjustColumnWidth="0" connectionId="57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P1_flight_data_true_30" growShrinkType="overwriteClear" adjustColumnWidth="0" connectionId="77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P1_flight_data_true_57" growShrinkType="overwriteClear" adjustColumnWidth="0" connectionId="107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P1_flight_data_raw_26" growShrinkType="overwriteClear" adjustColumnWidth="0" connectionId="17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P1_flight_data_true_46" growShrinkType="overwriteClear" adjustColumnWidth="0" connectionId="952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P1_flight_data_raw_38" growShrinkType="overwriteClear" adjustColumnWidth="0" connectionId="30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P1_flight_data_true_38" growShrinkType="overwriteClear" adjustColumnWidth="0" connectionId="862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P1_flight_data_raw_7" growShrinkType="overwriteClear" adjustColumnWidth="0" connectionId="53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P1_flight_data_true_27" growShrinkType="overwriteClear" adjustColumnWidth="0" connectionId="74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P1_flight_data_raw_35" growShrinkType="overwriteClear" adjustColumnWidth="0" connectionId="27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P1_flight_data_raw_5" growShrinkType="overwriteClear" adjustColumnWidth="0" connectionId="34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P1_flight_data_true_65" growShrinkType="overwriteClear" adjustColumnWidth="0" connectionId="116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P1_flight_data_true_73" growShrinkType="overwriteClear" adjustColumnWidth="0" connectionId="124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P1_flight_data_true_11" growShrinkType="overwriteClear" adjustColumnWidth="0" connectionId="126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P1_flight_data_raw_59" growShrinkType="overwriteClear" adjustColumnWidth="0" connectionId="54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P1_flight_data_true_13" growShrinkType="overwriteClear" adjustColumnWidth="0" connectionId="79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P1_flight_data_raw_3" growShrinkType="overwriteClear" adjustColumnWidth="0" connectionId="13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P1_flight_data_raw_47" growShrinkType="overwriteClear" adjustColumnWidth="0" connectionId="407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P1_flight_data_raw_34" growShrinkType="overwriteClear" adjustColumnWidth="0" connectionId="26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P1_flight_data_true_67" growShrinkType="overwriteClear" adjustColumnWidth="0" connectionId="118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P1_flight_data_raw_17" growShrinkType="overwriteClear" adjustColumnWidth="0" connectionId="77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P1_flight_data_true_74" growShrinkType="overwriteClear" adjustColumnWidth="0" connectionId="125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P1_flight_data_raw_14" growShrinkType="overwriteClear" adjustColumnWidth="0" connectionId="4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P1_flight_data_true_77" growShrinkType="overwriteClear" adjustColumnWidth="0" connectionId="128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P1_flight_data_raw_11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P1_flight_data_raw_16" growShrinkType="overwriteClear" adjustColumnWidth="0" connectionId="6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P1_flight_data_true_40" growShrinkType="overwriteClear" adjustColumnWidth="0" connectionId="88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P1_flight_data_raw_61" growShrinkType="overwriteClear" adjustColumnWidth="0" connectionId="56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P1_flight_data_raw_64" growShrinkType="overwriteClear" adjustColumnWidth="0" connectionId="59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P1_flight_data_true_16" growShrinkType="overwriteClear" adjustColumnWidth="0" connectionId="112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P1_flight_data_raw_66" growShrinkType="overwriteClear" adjustColumnWidth="0" connectionId="620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P1_flight_data_raw_42" growShrinkType="overwriteClear" adjustColumnWidth="0" connectionId="35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P1_flight_data_raw_27" growShrinkType="overwriteClear" adjustColumnWidth="0" connectionId="18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P1_flight_data_true_53" growShrinkType="overwriteClear" adjustColumnWidth="0" connectionId="1032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P1_flight_data_true_56" growShrinkType="overwriteClear" adjustColumnWidth="0" connectionId="106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P1_flight_data_true_76" growShrinkType="overwriteClear" adjustColumnWidth="0" connectionId="128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P1_flight_data_true_23" growShrinkType="overwriteClear" adjustColumnWidth="0" connectionId="702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P1_flight_data_raw_36" growShrinkType="overwriteClear" adjustColumnWidth="0" connectionId="28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P1_flight_data_true_37" growShrinkType="overwriteClear" adjustColumnWidth="0" connectionId="85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P1_flight_data_raw_10" growShrinkType="overwriteClear" adjustColumnWidth="0" connectionId="66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P1_flight_data_raw_8" growShrinkType="overwriteClear" adjustColumnWidth="0" connectionId="61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P1_flight_data_true_9" growShrinkType="overwriteClear" adjustColumnWidth="0" connectionId="137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P1_flight_data_true_73" growShrinkType="overwriteClear" adjustColumnWidth="0" connectionId="124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P1_flight_data_true_59" growShrinkType="overwriteClear" adjustColumnWidth="0" connectionId="109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P1_flight_data_true_55" growShrinkType="overwriteClear" adjustColumnWidth="0" connectionId="105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P1_flight_data_raw_23" growShrinkType="overwriteClear" adjustColumnWidth="0" connectionId="14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P1_flight_data_raw_27" growShrinkType="overwriteClear" adjustColumnWidth="0" connectionId="188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P1_flight_data_true_34" growShrinkType="overwriteClear" adjustColumnWidth="0" connectionId="82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P1_flight_data_true_60" growShrinkType="overwriteClear" adjustColumnWidth="0" connectionId="110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P1_flight_data_true_6" growShrinkType="overwriteClear" adjustColumnWidth="0" connectionId="1366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P1_flight_data_true_32" growShrinkType="overwriteClear" adjustColumnWidth="0" connectionId="80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P1_flight_data_raw_67" growShrinkType="overwriteClear" adjustColumnWidth="0" connectionId="62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P1_flight_data_raw_35" growShrinkType="overwriteClear" adjustColumnWidth="0" connectionId="27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P1_flight_data_raw_60" growShrinkType="overwriteClear" adjustColumnWidth="0" connectionId="55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P1_flight_data_raw_53" growShrinkType="overwriteClear" adjustColumnWidth="0" connectionId="47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P1_flight_data_raw_18" growShrinkType="overwriteClear" adjustColumnWidth="0" connectionId="88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P1_flight_data_true_62" growShrinkType="overwriteClear" adjustColumnWidth="0" connectionId="113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P1_flight_data_true_3" growShrinkType="overwriteClear" adjustColumnWidth="0" connectionId="141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P1_flight_data_raw_34" growShrinkType="overwriteClear" adjustColumnWidth="0" connectionId="268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P1_flight_data_true_70" growShrinkType="overwriteClear" adjustColumnWidth="0" connectionId="1217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P1_flight_data_true_54" growShrinkType="overwriteClear" adjustColumnWidth="0" connectionId="104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P1_flight_data_true_58" growShrinkType="overwriteClear" adjustColumnWidth="0" connectionId="108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P1_flight_data_true_16" growShrinkType="overwriteClear" adjustColumnWidth="0" connectionId="1123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P1_flight_data_true_37" growShrinkType="overwriteClear" adjustColumnWidth="0" connectionId="85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P1_flight_data_true_43" growShrinkType="overwriteClear" adjustColumnWidth="0" connectionId="92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P1_flight_data_true_5" growShrinkType="overwriteClear" adjustColumnWidth="0" connectionId="1356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P1_flight_data_true_36" growShrinkType="overwriteClear" adjustColumnWidth="0" connectionId="843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P1_flight_data_true_8" growShrinkType="overwriteClear" adjustColumnWidth="0" connectionId="133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P1_flight_data_raw_36" growShrinkType="overwriteClear" adjustColumnWidth="0" connectionId="288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P1_flight_data_true_45" growShrinkType="overwriteClear" adjustColumnWidth="0" connectionId="94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P1_flight_data_raw_43" growShrinkType="overwriteClear" adjustColumnWidth="0" connectionId="36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P1_flight_data_raw_19" growShrinkType="overwriteClear" adjustColumnWidth="0" connectionId="98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P1_flight_data_raw_50" growShrinkType="overwriteClear" adjustColumnWidth="0" connectionId="43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P1_flight_data_raw_58" growShrinkType="overwriteClear" adjustColumnWidth="0" connectionId="53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P1_flight_data_raw_46" growShrinkType="overwriteClear" adjustColumnWidth="0" connectionId="39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P1_flight_data_raw_66" growShrinkType="overwriteClear" adjustColumnWidth="0" connectionId="62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P1_flight_data_raw_14" growShrinkType="overwriteClear" adjustColumnWidth="0" connectionId="4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P1_flight_data_true_42" growShrinkType="overwriteClear" adjustColumnWidth="0" connectionId="90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P1_flight_data_raw_26" growShrinkType="overwriteClear" adjustColumnWidth="0" connectionId="17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P1_flight_data_true_40" growShrinkType="overwriteClear" adjustColumnWidth="0" connectionId="88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P1_flight_data_raw_68" growShrinkType="overwriteClear" adjustColumnWidth="0" connectionId="626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P1_flight_data_true" growShrinkType="overwriteClear" adjustColumnWidth="0" connectionId="1397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P1_flight_data_true_11" growShrinkType="overwriteClear" adjustColumnWidth="0" connectionId="1268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P1_flight_data_true_20" growShrinkType="overwriteClear" adjustColumnWidth="0" connectionId="1327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P1_flight_data_true_14" growShrinkType="overwriteClear" adjustColumnWidth="0" connectionId="91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P1_flight_data_true_17" growShrinkType="overwriteClear" adjustColumnWidth="0" connectionId="126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P1_flight_data_true_31" growShrinkType="overwriteClear" adjustColumnWidth="0" connectionId="78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P1_flight_data_raw_45" growShrinkType="overwriteClear" adjustColumnWidth="0" connectionId="38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P1_flight_data_true_47" growShrinkType="overwriteClear" adjustColumnWidth="0" connectionId="96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P1_flight_data_true_77" growShrinkType="overwriteClear" adjustColumnWidth="0" connectionId="128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P1_flight_data_true_21" growShrinkType="overwriteClear" adjustColumnWidth="0" connectionId="67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P1_flight_data_true_10" growShrinkType="overwriteClear" adjustColumnWidth="0" connectionId="138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P1_flight_data_raw_48" growShrinkType="overwriteClear" adjustColumnWidth="0" connectionId="41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P1_flight_data_true_18" growShrinkType="overwriteClear" adjustColumnWidth="0" connectionId="1277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P1_flight_data_raw_28" growShrinkType="overwriteClear" adjustColumnWidth="0" connectionId="19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P1_flight_data_raw_11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P1_flight_data_raw" growShrinkType="overwriteClear" adjustColumnWidth="0" connectionId="2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P1_flight_data_true_28" growShrinkType="overwriteClear" adjustColumnWidth="0" connectionId="75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P1_flight_data_true_24" growShrinkType="overwriteClear" adjustColumnWidth="0" connectionId="71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P1_flight_data_true_53" growShrinkType="overwriteClear" adjustColumnWidth="0" connectionId="103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P1_flight_data_raw_15" growShrinkType="overwriteClear" adjustColumnWidth="0" connectionId="5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P1_flight_data_raw_52" growShrinkType="overwriteClear" adjustColumnWidth="0" connectionId="465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P1_flight_data_raw_21" growShrinkType="overwriteClear" adjustColumnWidth="0" connectionId="11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P1_flight_data_true_66" growShrinkType="overwriteClear" adjustColumnWidth="0" connectionId="117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P1_flight_data_raw_56" growShrinkType="overwriteClear" adjustColumnWidth="0" connectionId="50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P1_flight_data_true_35" growShrinkType="overwriteClear" adjustColumnWidth="0" connectionId="83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P1_flight_data_true_12" growShrinkType="overwriteClear" adjustColumnWidth="0" connectionId="69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P1_flight_data_raw_29" growShrinkType="overwriteClear" adjustColumnWidth="0" connectionId="208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P1_flight_data_raw_39" growShrinkType="overwriteClear" adjustColumnWidth="0" connectionId="318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P1_flight_data_raw_1" growShrinkType="overwriteClear" adjustColumnWidth="0" connectionId="60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P1_flight_data_raw_12" growShrinkType="overwriteClear" adjustColumnWidth="0" connectionId="2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P1_flight_data_true_26" growShrinkType="overwriteClear" adjustColumnWidth="0" connectionId="73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P1_flight_data_raw_16" growShrinkType="overwriteClear" adjustColumnWidth="0" connectionId="6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P1_flight_data_true_67" growShrinkType="overwriteClear" adjustColumnWidth="0" connectionId="1182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P1_flight_data_true_57" growShrinkType="overwriteClear" adjustColumnWidth="0" connectionId="107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P1_flight_data_raw_62" growShrinkType="overwriteClear" adjustColumnWidth="0" connectionId="57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P1_flight_data_raw_9" growShrinkType="overwriteClear" adjustColumnWidth="0" connectionId="64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P1_flight_data_true_52" growShrinkType="overwriteClear" adjustColumnWidth="0" connectionId="1015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P1_flight_data_true_63" growShrinkType="overwriteClear" adjustColumnWidth="0" connectionId="1142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P1_flight_data_true_39" growShrinkType="overwriteClear" adjustColumnWidth="0" connectionId="87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P1_flight_data_raw_22" growShrinkType="overwriteClear" adjustColumnWidth="0" connectionId="130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P1_flight_data_true_13" growShrinkType="overwriteClear" adjustColumnWidth="0" connectionId="79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P1_flight_data_true_25" growShrinkType="overwriteClear" adjustColumnWidth="0" connectionId="72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P1_flight_data_true_38" growShrinkType="overwriteClear" adjustColumnWidth="0" connectionId="86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P1_flight_data_raw_44" growShrinkType="overwriteClear" adjustColumnWidth="0" connectionId="37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P1_flight_data_raw_41" growShrinkType="overwriteClear" adjustColumnWidth="0" connectionId="339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P1_flight_data_true_44" growShrinkType="overwriteClear" adjustColumnWidth="0" connectionId="93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P1_flight_data_true_41" growShrinkType="overwriteClear" adjustColumnWidth="0" connectionId="894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P1_flight_data_true_23" growShrinkType="overwriteClear" adjustColumnWidth="0" connectionId="70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P1_flight_data_raw_61" growShrinkType="overwriteClear" adjustColumnWidth="0" connectionId="56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P1_flight_data_true_50" growShrinkType="overwriteClear" adjustColumnWidth="0" connectionId="99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P1_flight_data_true_68" growShrinkType="overwriteClear" adjustColumnWidth="0" connectionId="119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P1_flight_data_raw_31" growShrinkType="overwriteClear" adjustColumnWidth="0" connectionId="22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P1_flight_data_raw_59" growShrinkType="overwriteClear" adjustColumnWidth="0" connectionId="54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P1_flight_data_raw_7" growShrinkType="overwriteClear" adjustColumnWidth="0" connectionId="53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P1_flight_data_raw_24" growShrinkType="overwriteClear" adjustColumnWidth="0" connectionId="15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P1_flight_data_raw_42" growShrinkType="overwriteClear" adjustColumnWidth="0" connectionId="35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P1_flight_data_raw_4" growShrinkType="overwriteClear" adjustColumnWidth="0" connectionId="246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P1_flight_data_raw_64" growShrinkType="overwriteClear" adjustColumnWidth="0" connectionId="59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P1_flight_data_true_74" growShrinkType="overwriteClear" adjustColumnWidth="0" connectionId="125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P1_flight_data_raw_6" growShrinkType="overwriteClear" adjustColumnWidth="0" connectionId="45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P1_flight_data_raw_30" growShrinkType="overwriteClear" adjustColumnWidth="0" connectionId="218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P1_flight_data_true_76" growShrinkType="overwriteClear" adjustColumnWidth="0" connectionId="128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P1_flight_data_true_51" growShrinkType="overwriteClear" adjustColumnWidth="0" connectionId="1004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P1_flight_data_raw_20" growShrinkType="overwriteClear" adjustColumnWidth="0" connectionId="10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P1_flight_data_true_30" growShrinkType="overwriteClear" adjustColumnWidth="0" connectionId="77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P1_flight_data_raw_25" growShrinkType="overwriteClear" adjustColumnWidth="0" connectionId="16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P1_flight_data_true_71" growShrinkType="overwriteClear" adjustColumnWidth="0" connectionId="1226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P1_flight_data_raw_33" growShrinkType="overwriteClear" adjustColumnWidth="0" connectionId="258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P1_flight_data_true_27" growShrinkType="overwriteClear" adjustColumnWidth="0" connectionId="74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P1_flight_data_true_72" growShrinkType="overwriteClear" adjustColumnWidth="0" connectionId="123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P1_flight_data_true_78" growShrinkType="overwriteClear" adjustColumnWidth="0" connectionId="129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P1_flight_data_raw_57" growShrinkType="overwriteClear" adjustColumnWidth="0" connectionId="51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P1_flight_data_raw_32" growShrinkType="overwriteClear" adjustColumnWidth="0" connectionId="240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P1_flight_data_true_56" growShrinkType="overwriteClear" adjustColumnWidth="0" connectionId="106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P1_flight_data_true_65" growShrinkType="overwriteClear" adjustColumnWidth="0" connectionId="116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P1_flight_data_raw_55" growShrinkType="overwriteClear" adjustColumnWidth="0" connectionId="49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P1_flight_data_raw_37" growShrinkType="overwriteClear" adjustColumnWidth="0" connectionId="29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P1_flight_data_raw_13" growShrinkType="overwriteClear" adjustColumnWidth="0" connectionId="3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P1_flight_data_true_61" growShrinkType="overwriteClear" adjustColumnWidth="0" connectionId="1114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P1_flight_data_raw_47" growShrinkType="overwriteClear" adjustColumnWidth="0" connectionId="408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P1_flight_data_raw_38" growShrinkType="overwriteClear" adjustColumnWidth="0" connectionId="308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P1_flight_data_true_19" growShrinkType="overwriteClear" adjustColumnWidth="0" connectionId="130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P1_flight_data_true_22" growShrinkType="overwriteClear" adjustColumnWidth="0" connectionId="685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P1_flight_data_true_48" growShrinkType="overwriteClear" adjustColumnWidth="0" connectionId="97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P1_flight_data_true_46" growShrinkType="overwriteClear" adjustColumnWidth="0" connectionId="95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P1_flight_data_raw_40" growShrinkType="overwriteClear" adjustColumnWidth="0" connectionId="32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P1_flight_data_true_2" growShrinkType="overwriteClear" adjustColumnWidth="0" connectionId="140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P1_flight_data_raw_17" growShrinkType="overwriteClear" adjustColumnWidth="0" connectionId="7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P1_flight_data_raw_49" growShrinkType="overwriteClear" adjustColumnWidth="0" connectionId="42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P1_flight_data_raw_65" growShrinkType="overwriteClear" adjustColumnWidth="0" connectionId="60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P1_flight_data_raw_51" growShrinkType="overwriteClear" adjustColumnWidth="0" connectionId="449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P1_flight_data_raw_54" growShrinkType="overwriteClear" adjustColumnWidth="0" connectionId="48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P1_flight_data_true_75" growShrinkType="overwriteClear" adjustColumnWidth="0" connectionId="128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P1_flight_data_true_64" growShrinkType="overwriteClear" adjustColumnWidth="0" connectionId="115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P1_flight_data_true_69" growShrinkType="overwriteClear" adjustColumnWidth="0" connectionId="120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P1_flight_data_raw_5" growShrinkType="overwriteClear" adjustColumnWidth="0" connectionId="350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P1_flight_data_raw_3" growShrinkType="overwriteClear" adjustColumnWidth="0" connectionId="136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P1_flight_data_true_33" growShrinkType="overwriteClear" adjustColumnWidth="0" connectionId="813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P1_flight_data_raw_63" growShrinkType="overwriteClear" adjustColumnWidth="0" connectionId="58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P1_flight_data_true_15" growShrinkType="overwriteClear" adjustColumnWidth="0" connectionId="102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P1_flight_data_true_49" growShrinkType="overwriteClear" adjustColumnWidth="0" connectionId="98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P1_flight_data_true_4" growShrinkType="overwriteClear" adjustColumnWidth="0" connectionId="134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P1_flight_data_true_29" growShrinkType="overwriteClear" adjustColumnWidth="0" connectionId="763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P1_flight_data_raw_3" growShrinkType="overwriteClear" adjustColumnWidth="0" connectionId="13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P1_flight_data_raw_48" growShrinkType="overwriteClear" adjustColumnWidth="0" connectionId="41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P1_flight_data_true_45" growShrinkType="overwriteClear" adjustColumnWidth="0" connectionId="94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P1_flight_data_raw_35" growShrinkType="overwriteClear" adjustColumnWidth="0" connectionId="279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P1_flight_data_true_19" growShrinkType="overwriteClear" adjustColumnWidth="0" connectionId="130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P1_flight_data_raw_28" growShrinkType="overwriteClear" adjustColumnWidth="0" connectionId="199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P1_flight_data_true_77" growShrinkType="overwriteClear" adjustColumnWidth="0" connectionId="129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P1_flight_data_raw_62" growShrinkType="overwriteClear" adjustColumnWidth="0" connectionId="577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P1_flight_data_raw_9" growShrinkType="overwriteClear" adjustColumnWidth="0" connectionId="646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P1_flight_data_raw_32" growShrinkType="overwriteClear" adjustColumnWidth="0" connectionId="24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P1_flight_data_true_55" growShrinkType="overwriteClear" adjustColumnWidth="0" connectionId="105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P1_flight_data_true_52" growShrinkType="overwriteClear" adjustColumnWidth="0" connectionId="1016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P1_flight_data_raw_24" growShrinkType="overwriteClear" adjustColumnWidth="0" connectionId="159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P1_flight_data_raw_52" growShrinkType="overwriteClear" adjustColumnWidth="0" connectionId="46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P1_flight_data_raw_65" growShrinkType="overwriteClear" adjustColumnWidth="0" connectionId="60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P1_flight_data_true_57" growShrinkType="overwriteClear" adjustColumnWidth="0" connectionId="107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P1_flight_data_true_62" growShrinkType="overwriteClear" adjustColumnWidth="0" connectionId="113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P1_flight_data_true_31" growShrinkType="overwriteClear" adjustColumnWidth="0" connectionId="78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P1_flight_data_raw_34" growShrinkType="overwriteClear" adjustColumnWidth="0" connectionId="26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P1_flight_data_true_10" growShrinkType="overwriteClear" adjustColumnWidth="0" connectionId="1390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P1_flight_data_true_28" growShrinkType="overwriteClear" adjustColumnWidth="0" connectionId="754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P1_flight_data_raw_68" growShrinkType="overwriteClear" adjustColumnWidth="0" connectionId="62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P1_flight_data_true_32" growShrinkType="overwriteClear" adjustColumnWidth="0" connectionId="80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P1_flight_data_raw_53" growShrinkType="overwriteClear" adjustColumnWidth="0" connectionId="478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P1_flight_data_true_61" growShrinkType="overwriteClear" adjustColumnWidth="0" connectionId="111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P1_flight_data_true_75" growShrinkType="overwriteClear" adjustColumnWidth="0" connectionId="128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P1_flight_data_raw_30" growShrinkType="overwriteClear" adjustColumnWidth="0" connectionId="219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P1_flight_data_true_42" growShrinkType="overwriteClear" adjustColumnWidth="0" connectionId="906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P1_flight_data_raw_55" growShrinkType="overwriteClear" adjustColumnWidth="0" connectionId="49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P1_flight_data_true_54" growShrinkType="overwriteClear" adjustColumnWidth="0" connectionId="104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P1_flight_data_true_49" growShrinkType="overwriteClear" adjustColumnWidth="0" connectionId="98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P1_flight_data_true_39" growShrinkType="overwriteClear" adjustColumnWidth="0" connectionId="87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P1_flight_data_true_73" growShrinkType="overwriteClear" adjustColumnWidth="0" connectionId="124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P1_flight_data_true_36" growShrinkType="overwriteClear" adjustColumnWidth="0" connectionId="84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P1_flight_data_raw_39" growShrinkType="overwriteClear" adjustColumnWidth="0" connectionId="31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P1_flight_data_raw_51" growShrinkType="overwriteClear" adjustColumnWidth="0" connectionId="45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P1_flight_data_true_3" growShrinkType="overwriteClear" adjustColumnWidth="0" connectionId="1418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P1_flight_data_raw_44" growShrinkType="overwriteClear" adjustColumnWidth="0" connectionId="37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P1_flight_data_raw_60" growShrinkType="overwriteClear" adjustColumnWidth="0" connectionId="559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P1_flight_data_raw_41" growShrinkType="overwriteClear" adjustColumnWidth="0" connectionId="34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P1_flight_data_raw_57" growShrinkType="overwriteClear" adjustColumnWidth="0" connectionId="51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P1_flight_data_raw_11" growShrinkType="overwriteClear" adjustColumnWidth="0" connectionId="1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P1_flight_data_true_76" growShrinkType="overwriteClear" adjustColumnWidth="0" connectionId="1287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P1_flight_data_true_72" growShrinkType="overwriteClear" adjustColumnWidth="0" connectionId="123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P1_flight_data_true_44" growShrinkType="overwriteClear" adjustColumnWidth="0" connectionId="934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P1_flight_data_true_46" growShrinkType="overwriteClear" adjustColumnWidth="0" connectionId="95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P1_flight_data_true_35" growShrinkType="overwriteClear" adjustColumnWidth="0" connectionId="83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P1_flight_data_true_43" growShrinkType="overwriteClear" adjustColumnWidth="0" connectionId="92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P1_flight_data_raw_20" growShrinkType="overwriteClear" adjustColumnWidth="0" connectionId="10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P1_flight_data_true_16" growShrinkType="overwriteClear" adjustColumnWidth="0" connectionId="1124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P1_flight_data_true_30" growShrinkType="overwriteClear" adjustColumnWidth="0" connectionId="774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P1_flight_data_raw_43" growShrinkType="overwriteClear" adjustColumnWidth="0" connectionId="36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P1_flight_data_raw_47" growShrinkType="overwriteClear" adjustColumnWidth="0" connectionId="40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P1_flight_data_true_25" growShrinkType="overwriteClear" adjustColumnWidth="0" connectionId="72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P1_flight_data_true_50" growShrinkType="overwriteClear" adjustColumnWidth="0" connectionId="994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P1_flight_data_true_71" growShrinkType="overwriteClear" adjustColumnWidth="0" connectionId="1227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P1_flight_data_raw_58" growShrinkType="overwriteClear" adjustColumnWidth="0" connectionId="53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P1_flight_data_true_18" growShrinkType="overwriteClear" adjustColumnWidth="0" connectionId="1278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P1_flight_data_true_53" growShrinkType="overwriteClear" adjustColumnWidth="0" connectionId="1034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P1_flight_data_raw_8" growShrinkType="overwriteClear" adjustColumnWidth="0" connectionId="618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P1_flight_data_true_66" growShrinkType="overwriteClear" adjustColumnWidth="0" connectionId="117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P1_flight_data_raw_61" growShrinkType="overwriteClear" adjustColumnWidth="0" connectionId="56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P1_flight_data_raw_54" growShrinkType="overwriteClear" adjustColumnWidth="0" connectionId="48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P1_flight_data_true_40" growShrinkType="overwriteClear" adjustColumnWidth="0" connectionId="88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P1_flight_data_true_56" growShrinkType="overwriteClear" adjustColumnWidth="0" connectionId="106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P1_flight_data_true_58" growShrinkType="overwriteClear" adjustColumnWidth="0" connectionId="1084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P1_flight_data_true_8" growShrinkType="overwriteClear" adjustColumnWidth="0" connectionId="133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P1_flight_data_true_67" growShrinkType="overwriteClear" adjustColumnWidth="0" connectionId="118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P1_flight_data_true_60" growShrinkType="overwriteClear" adjustColumnWidth="0" connectionId="110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P1_flight_data_raw_40" growShrinkType="overwriteClear" adjustColumnWidth="0" connectionId="32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P1_flight_data_raw_18" growShrinkType="overwriteClear" adjustColumnWidth="0" connectionId="8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P1_flight_data_true_6" growShrinkType="overwriteClear" adjustColumnWidth="0" connectionId="136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P1_flight_data_raw_46" growShrinkType="overwriteClear" adjustColumnWidth="0" connectionId="399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P1_flight_data_raw_42" growShrinkType="overwriteClear" adjustColumnWidth="0" connectionId="357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P1_flight_data_true_9" growShrinkType="overwriteClear" adjustColumnWidth="0" connectionId="1379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P1_flight_data_true_63" growShrinkType="overwriteClear" adjustColumnWidth="0" connectionId="114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P1_flight_data_raw_50" growShrinkType="overwriteClear" adjustColumnWidth="0" connectionId="439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P1_flight_data_raw_14" growShrinkType="overwriteClear" adjustColumnWidth="0" connectionId="4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P1_flight_data_raw_6" growShrinkType="overwriteClear" adjustColumnWidth="0" connectionId="459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P1_flight_data_true_2" growShrinkType="overwriteClear" adjustColumnWidth="0" connectionId="140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P1_flight_data_true_17" growShrinkType="overwriteClear" adjustColumnWidth="0" connectionId="126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P1_flight_data_true_23" growShrinkType="overwriteClear" adjustColumnWidth="0" connectionId="70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P1_flight_data_true_24" growShrinkType="overwriteClear" adjustColumnWidth="0" connectionId="714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P1_flight_data_true_20" growShrinkType="overwriteClear" adjustColumnWidth="0" connectionId="132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P1_flight_data_raw_45" growShrinkType="overwriteClear" adjustColumnWidth="0" connectionId="389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P1_flight_data_true_5" growShrinkType="overwriteClear" adjustColumnWidth="0" connectionId="1357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P1_flight_data_raw_21" growShrinkType="overwriteClear" adjustColumnWidth="0" connectionId="12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P1_flight_data_raw_15" growShrinkType="overwriteClear" adjustColumnWidth="0" connectionId="5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P1_flight_data_true_26" growShrinkType="overwriteClear" adjustColumnWidth="0" connectionId="73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P1_flight_data_raw_13" growShrinkType="overwriteClear" adjustColumnWidth="0" connectionId="3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P1_flight_data_true_21" growShrinkType="overwriteClear" adjustColumnWidth="0" connectionId="675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P1_flight_data_true_15" growShrinkType="overwriteClear" adjustColumnWidth="0" connectionId="1022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P1_flight_data_true" growShrinkType="overwriteClear" adjustColumnWidth="0" connectionId="139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P1_flight_data_true_65" growShrinkType="overwriteClear" adjustColumnWidth="0" connectionId="116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P1_flight_data_true_48" growShrinkType="overwriteClear" adjustColumnWidth="0" connectionId="97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P1_flight_data_true_29" growShrinkType="overwriteClear" adjustColumnWidth="0" connectionId="76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P1_flight_data_raw_23" growShrinkType="overwriteClear" adjustColumnWidth="0" connectionId="14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P1_flight_data_true_4" growShrinkType="overwriteClear" adjustColumnWidth="0" connectionId="134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P1_flight_data_true_68" growShrinkType="overwriteClear" adjustColumnWidth="0" connectionId="119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P1_flight_data_raw_10" growShrinkType="overwriteClear" adjustColumnWidth="0" connectionId="663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P1_flight_data_raw_1" growShrinkType="overwriteClear" adjustColumnWidth="0" connectionId="60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P1_flight_data_true_22" growShrinkType="overwriteClear" adjustColumnWidth="0" connectionId="686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P1_flight_data_raw_59" growShrinkType="overwriteClear" adjustColumnWidth="0" connectionId="550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P1_flight_data_true_64" growShrinkType="overwriteClear" adjustColumnWidth="0" connectionId="1153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P1_flight_data_raw_36" growShrinkType="overwriteClear" adjustColumnWidth="0" connectionId="28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P1_flight_data_true_12" growShrinkType="overwriteClear" adjustColumnWidth="0" connectionId="692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P1_flight_data_raw_4" growShrinkType="overwriteClear" adjustColumnWidth="0" connectionId="24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P1_flight_data_true_59" growShrinkType="overwriteClear" adjustColumnWidth="0" connectionId="1094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P1_flight_data_true_34" growShrinkType="overwriteClear" adjustColumnWidth="0" connectionId="824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P1_flight_data_raw_67" growShrinkType="overwriteClear" adjustColumnWidth="0" connectionId="625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P1_flight_data_true_13" growShrinkType="overwriteClear" adjustColumnWidth="0" connectionId="79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P1_flight_data_raw_27" growShrinkType="overwriteClear" adjustColumnWidth="0" connectionId="18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P1_flight_data_raw_29" growShrinkType="overwriteClear" adjustColumnWidth="0" connectionId="209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P1_flight_data_true_27" growShrinkType="overwriteClear" adjustColumnWidth="0" connectionId="74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P1_flight_data_true_74" growShrinkType="overwriteClear" adjustColumnWidth="0" connectionId="125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P1_flight_data_raw_26" growShrinkType="overwriteClear" adjustColumnWidth="0" connectionId="17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P1_flight_data_true_51" growShrinkType="overwriteClear" adjustColumnWidth="0" connectionId="1005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P1_flight_data_raw" growShrinkType="overwriteClear" adjustColumnWidth="0" connectionId="2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P1_flight_data_true_11" growShrinkType="overwriteClear" adjustColumnWidth="0" connectionId="126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P1_flight_data_raw_64" growShrinkType="overwriteClear" adjustColumnWidth="0" connectionId="59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P1_flight_data_true_33" growShrinkType="overwriteClear" adjustColumnWidth="0" connectionId="814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P1_flight_data_raw_16" growShrinkType="overwriteClear" adjustColumnWidth="0" connectionId="6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P1_flight_data_true_38" growShrinkType="overwriteClear" adjustColumnWidth="0" connectionId="86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P1_flight_data_true_69" growShrinkType="overwriteClear" adjustColumnWidth="0" connectionId="1209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P1_flight_data_raw_49" growShrinkType="overwriteClear" adjustColumnWidth="0" connectionId="42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P1_flight_data_raw_19" growShrinkType="overwriteClear" adjustColumnWidth="0" connectionId="9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P1_flight_data_raw_37" growShrinkType="overwriteClear" adjustColumnWidth="0" connectionId="29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P1_flight_data_raw_63" growShrinkType="overwriteClear" adjustColumnWidth="0" connectionId="58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P1_flight_data_raw_33" growShrinkType="overwriteClear" adjustColumnWidth="0" connectionId="25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P1_flight_data_true_14" growShrinkType="overwriteClear" adjustColumnWidth="0" connectionId="91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P1_flight_data_raw_38" growShrinkType="overwriteClear" adjustColumnWidth="0" connectionId="309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P1_flight_data_raw_5" growShrinkType="overwriteClear" adjustColumnWidth="0" connectionId="35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P1_flight_data_raw_25" growShrinkType="overwriteClear" adjustColumnWidth="0" connectionId="16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P1_flight_data_true_70" growShrinkType="overwriteClear" adjustColumnWidth="0" connectionId="121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P1_flight_data_true_41" growShrinkType="overwriteClear" adjustColumnWidth="0" connectionId="895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P1_flight_data_raw_12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P1_flight_data_true_78" growShrinkType="overwriteClear" adjustColumnWidth="0" connectionId="129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P1_flight_data_raw_31" growShrinkType="overwriteClear" adjustColumnWidth="0" connectionId="230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P1_flight_data_true_37" growShrinkType="overwriteClear" adjustColumnWidth="0" connectionId="85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P1_flight_data_raw_22" growShrinkType="overwriteClear" adjustColumnWidth="0" connectionId="131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P1_flight_data_raw_7" growShrinkType="overwriteClear" adjustColumnWidth="0" connectionId="54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P1_flight_data_true_47" growShrinkType="overwriteClear" adjustColumnWidth="0" connectionId="964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P1_flight_data_raw_17" growShrinkType="overwriteClear" adjustColumnWidth="0" connectionId="7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P1_flight_data_raw_56" growShrinkType="overwriteClear" adjustColumnWidth="0" connectionId="508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P1_flight_data_raw_66" growShrinkType="overwriteClear" adjustColumnWidth="0" connectionId="62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P1_flight_data_true_59" growShrinkType="overwriteClear" adjustColumnWidth="0" connectionId="109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P1_flight_data_raw_41" growShrinkType="overwriteClear" adjustColumnWidth="0" connectionId="34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P1_flight_data_true_18" growShrinkType="overwriteClear" adjustColumnWidth="0" connectionId="127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P1_flight_data_raw_37" growShrinkType="overwriteClear" adjustColumnWidth="0" connectionId="30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P1_flight_data_true_10" growShrinkType="overwriteClear" adjustColumnWidth="0" connectionId="139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P1_flight_data_true_55" growShrinkType="overwriteClear" adjustColumnWidth="0" connectionId="1055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P1_flight_data_true_8" growShrinkType="overwriteClear" adjustColumnWidth="0" connectionId="137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P1_flight_data_raw_31" growShrinkType="overwriteClear" adjustColumnWidth="0" connectionId="23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P1_flight_data_true_44" growShrinkType="overwriteClear" adjustColumnWidth="0" connectionId="93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P1_flight_data_true_16" growShrinkType="overwriteClear" adjustColumnWidth="0" connectionId="1134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P1_flight_data_raw_26" growShrinkType="overwriteClear" adjustColumnWidth="0" connectionId="180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P1_flight_data_raw_50" growShrinkType="overwriteClear" adjustColumnWidth="0" connectionId="44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P1_flight_data_true_78" growShrinkType="overwriteClear" adjustColumnWidth="0" connectionId="131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P1_flight_data_raw_13" growShrinkType="overwriteClear" adjustColumnWidth="0" connectionId="40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P1_flight_data_true_11" growShrinkType="overwriteClear" adjustColumnWidth="0" connectionId="131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P1_flight_data_raw_5" growShrinkType="overwriteClear" adjustColumnWidth="0" connectionId="35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P1_flight_data_raw_42" growShrinkType="overwriteClear" adjustColumnWidth="0" connectionId="360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P1_flight_data_true_2" growShrinkType="overwriteClear" adjustColumnWidth="0" connectionId="1407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P1_flight_data_true_57" growShrinkType="overwriteClear" adjustColumnWidth="0" connectionId="107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P1_flight_data_raw_68" growShrinkType="overwriteClear" adjustColumnWidth="0" connectionId="650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P1_flight_data_true_49" growShrinkType="overwriteClear" adjustColumnWidth="0" connectionId="985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P1_flight_data_true_65" growShrinkType="overwriteClear" adjustColumnWidth="0" connectionId="116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P1_flight_data_true_56" growShrinkType="overwriteClear" adjustColumnWidth="0" connectionId="106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P1_flight_data_true_39" growShrinkType="overwriteClear" adjustColumnWidth="0" connectionId="875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P1_flight_data_raw_25" growShrinkType="overwriteClear" adjustColumnWidth="0" connectionId="170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P1_flight_data_true_64" growShrinkType="overwriteClear" adjustColumnWidth="0" connectionId="1154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P1_flight_data_true_36" growShrinkType="overwriteClear" adjustColumnWidth="0" connectionId="845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P1_flight_data_raw_20" growShrinkType="overwriteClear" adjustColumnWidth="0" connectionId="11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P1_flight_data_true_50" growShrinkType="overwriteClear" adjustColumnWidth="0" connectionId="99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P1_flight_data_raw_54" growShrinkType="overwriteClear" adjustColumnWidth="0" connectionId="48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P1_flight_data_true_24" growShrinkType="overwriteClear" adjustColumnWidth="0" connectionId="71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P1_flight_data_raw_4" growShrinkType="overwriteClear" adjustColumnWidth="0" connectionId="24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P1_flight_data_true_60" growShrinkType="overwriteClear" adjustColumnWidth="0" connectionId="1105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P1_flight_data_raw_45" growShrinkType="overwriteClear" adjustColumnWidth="0" connectionId="390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P1_flight_data_true_33" growShrinkType="overwriteClear" adjustColumnWidth="0" connectionId="81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P1_flight_data_raw_32" growShrinkType="overwriteClear" adjustColumnWidth="0" connectionId="250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P1_flight_data_true_29" growShrinkType="overwriteClear" adjustColumnWidth="0" connectionId="76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P1_flight_data_true_23" growShrinkType="overwriteClear" adjustColumnWidth="0" connectionId="70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P1_flight_data_true_15" growShrinkType="overwriteClear" adjustColumnWidth="0" connectionId="1023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P1_flight_data_raw_56" growShrinkType="overwriteClear" adjustColumnWidth="0" connectionId="50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P1_flight_data_raw_27" growShrinkType="overwriteClear" adjustColumnWidth="0" connectionId="190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P1_flight_data_true_70" growShrinkType="overwriteClear" adjustColumnWidth="0" connectionId="121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P1_flight_data_true_79" growShrinkType="overwriteClear" adjustColumnWidth="0" connectionId="1317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P1_flight_data_raw_18" growShrinkType="overwriteClear" adjustColumnWidth="0" connectionId="9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P1_flight_data_raw_66" growShrinkType="overwriteClear" adjustColumnWidth="0" connectionId="632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P1_flight_data_true_12" growShrinkType="overwriteClear" adjustColumnWidth="0" connectionId="69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P1_flight_data_raw_61" growShrinkType="overwriteClear" adjustColumnWidth="0" connectionId="569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P1_flight_data_raw_51" growShrinkType="overwriteClear" adjustColumnWidth="0" connectionId="45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P1_flight_data_true_48" growShrinkType="overwriteClear" adjustColumnWidth="0" connectionId="97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P1_flight_data_true_53" growShrinkType="overwriteClear" adjustColumnWidth="0" connectionId="103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P1_flight_data_raw_58" growShrinkType="overwriteClear" adjustColumnWidth="0" connectionId="532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P1_flight_data_true_43" growShrinkType="overwriteClear" adjustColumnWidth="0" connectionId="92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P1_flight_data_raw_12" growShrinkType="overwriteClear" adjustColumnWidth="0" connectionId="3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P1_flight_data_raw_34" growShrinkType="overwriteClear" adjustColumnWidth="0" connectionId="27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P1_flight_data_true_37" growShrinkType="overwriteClear" adjustColumnWidth="0" connectionId="85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P1_flight_data_true_77" growShrinkType="overwriteClear" adjustColumnWidth="0" connectionId="1301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P1_flight_data_true_67" growShrinkType="overwriteClear" adjustColumnWidth="0" connectionId="118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P1_flight_data_true_26" growShrinkType="overwriteClear" adjustColumnWidth="0" connectionId="73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P1_flight_data_raw_46" growShrinkType="overwriteClear" adjustColumnWidth="0" connectionId="40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P1_flight_data_true_14" growShrinkType="overwriteClear" adjustColumnWidth="0" connectionId="915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P1_flight_data_true_66" growShrinkType="overwriteClear" adjustColumnWidth="0" connectionId="1174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P1_flight_data_true_22" growShrinkType="overwriteClear" adjustColumnWidth="0" connectionId="693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P1_flight_data_raw_19" growShrinkType="overwriteClear" adjustColumnWidth="0" connectionId="10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P1_flight_data_true_40" growShrinkType="overwriteClear" adjustColumnWidth="0" connectionId="88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P1_flight_data_true_4" growShrinkType="overwriteClear" adjustColumnWidth="0" connectionId="134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P1_flight_data_true_45" growShrinkType="overwriteClear" adjustColumnWidth="0" connectionId="94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P1_flight_data_true_76" growShrinkType="overwriteClear" adjustColumnWidth="0" connectionId="129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P1_flight_data_raw_15" growShrinkType="overwriteClear" adjustColumnWidth="0" connectionId="60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P1_flight_data_raw_33" growShrinkType="overwriteClear" adjustColumnWidth="0" connectionId="26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P1_flight_data_true_72" growShrinkType="overwriteClear" adjustColumnWidth="0" connectionId="1237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P1_flight_data_true_51" growShrinkType="overwriteClear" adjustColumnWidth="0" connectionId="1006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P1_flight_data_raw_3" growShrinkType="overwriteClear" adjustColumnWidth="0" connectionId="14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P1_flight_data_true_13" growShrinkType="overwriteClear" adjustColumnWidth="0" connectionId="805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P1_flight_data_true_5" growShrinkType="overwriteClear" adjustColumnWidth="0" connectionId="135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P1_flight_data_true_75" growShrinkType="overwriteClear" adjustColumnWidth="0" connectionId="1294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P1_flight_data_raw_21" growShrinkType="overwriteClear" adjustColumnWidth="0" connectionId="121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P1_flight_data_true_34" growShrinkType="overwriteClear" adjustColumnWidth="0" connectionId="82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P1_flight_data_raw_59" growShrinkType="overwriteClear" adjustColumnWidth="0" connectionId="55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P1_flight_data_raw_23" growShrinkType="overwriteClear" adjustColumnWidth="0" connectionId="15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P1_flight_data_raw_1" growShrinkType="overwriteClear" adjustColumnWidth="0" connectionId="63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P1_flight_data_true_20" growShrinkType="overwriteClear" adjustColumnWidth="0" connectionId="1329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P1_flight_data_true_19" growShrinkType="overwriteClear" adjustColumnWidth="0" connectionId="1312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P1_flight_data_true_6" growShrinkType="overwriteClear" adjustColumnWidth="0" connectionId="136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P1_flight_data_raw_30" growShrinkType="overwriteClear" adjustColumnWidth="0" connectionId="22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P1_flight_data_raw_29" growShrinkType="overwriteClear" adjustColumnWidth="0" connectionId="210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P1_flight_data_true_58" growShrinkType="overwriteClear" adjustColumnWidth="0" connectionId="108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P1_flight_data_raw_52" growShrinkType="overwriteClear" adjustColumnWidth="0" connectionId="467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P1_flight_data_raw_48" growShrinkType="overwriteClear" adjustColumnWidth="0" connectionId="420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P1_flight_data_raw_28" growShrinkType="overwriteClear" adjustColumnWidth="0" connectionId="200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P1_flight_data_true" growShrinkType="overwriteClear" adjustColumnWidth="0" connectionId="140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P1_flight_data_raw_47" growShrinkType="overwriteClear" adjustColumnWidth="0" connectionId="410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P1_flight_data_raw_22" growShrinkType="overwriteClear" adjustColumnWidth="0" connectionId="13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P1_flight_data_true_42" growShrinkType="overwriteClear" adjustColumnWidth="0" connectionId="913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P1_flight_data_true_62" growShrinkType="overwriteClear" adjustColumnWidth="0" connectionId="113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P1_flight_data_true_28" growShrinkType="overwriteClear" adjustColumnWidth="0" connectionId="755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P1_flight_data_raw_17" growShrinkType="overwriteClear" adjustColumnWidth="0" connectionId="8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P1_flight_data_raw_10" growShrinkType="overwriteClear" adjustColumnWidth="0" connectionId="664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P1_flight_data_true_47" growShrinkType="overwriteClear" adjustColumnWidth="0" connectionId="965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P1_flight_data_raw_11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P1_flight_data_raw_14" growShrinkType="overwriteClear" adjustColumnWidth="0" connectionId="50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P1_flight_data_raw_69" growShrinkType="overwriteClear" adjustColumnWidth="0" connectionId="65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P1_flight_data_raw_38" growShrinkType="overwriteClear" adjustColumnWidth="0" connectionId="310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P1_flight_data_true_21" growShrinkType="overwriteClear" adjustColumnWidth="0" connectionId="676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P1_flight_data_true_41" growShrinkType="overwriteClear" adjustColumnWidth="0" connectionId="896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P1_flight_data_raw_24" growShrinkType="overwriteClear" adjustColumnWidth="0" connectionId="160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P1_flight_data_raw" growShrinkType="overwriteClear" adjustColumnWidth="0" connectionId="28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P1_flight_data_true_35" growShrinkType="overwriteClear" adjustColumnWidth="0" connectionId="83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P1_flight_data_true_52" growShrinkType="overwriteClear" adjustColumnWidth="0" connectionId="102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P1_flight_data_raw_63" growShrinkType="overwriteClear" adjustColumnWidth="0" connectionId="587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P1_flight_data_true_54" growShrinkType="overwriteClear" adjustColumnWidth="0" connectionId="104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P1_flight_data_raw_60" growShrinkType="overwriteClear" adjustColumnWidth="0" connectionId="560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P1_flight_data_true_68" growShrinkType="overwriteClear" adjustColumnWidth="0" connectionId="119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P1_flight_data_raw_39" growShrinkType="overwriteClear" adjustColumnWidth="0" connectionId="32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P1_flight_data_true_30" growShrinkType="overwriteClear" adjustColumnWidth="0" connectionId="77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P1_flight_data_true_17" growShrinkType="overwriteClear" adjustColumnWidth="0" connectionId="1200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P1_flight_data_raw_8" growShrinkType="overwriteClear" adjustColumnWidth="0" connectionId="61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P1_flight_data_true_38" growShrinkType="overwriteClear" adjustColumnWidth="0" connectionId="865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P1_flight_data_raw_49" growShrinkType="overwriteClear" adjustColumnWidth="0" connectionId="430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P1_flight_data_true_73" growShrinkType="overwriteClear" adjustColumnWidth="0" connectionId="1246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P1_flight_data_raw_53" growShrinkType="overwriteClear" adjustColumnWidth="0" connectionId="47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P1_flight_data_true_61" growShrinkType="overwriteClear" adjustColumnWidth="0" connectionId="111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P1_flight_data_true_63" growShrinkType="overwriteClear" adjustColumnWidth="0" connectionId="114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P1_flight_data_true_31" growShrinkType="overwriteClear" adjustColumnWidth="0" connectionId="786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P1_flight_data_raw_57" growShrinkType="overwriteClear" adjustColumnWidth="0" connectionId="51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P1_flight_data_raw_65" growShrinkType="overwriteClear" adjustColumnWidth="0" connectionId="62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P1_flight_data_raw_6" growShrinkType="overwriteClear" adjustColumnWidth="0" connectionId="46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P1_flight_data_raw_35" growShrinkType="overwriteClear" adjustColumnWidth="0" connectionId="28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P1_flight_data_true_32" growShrinkType="overwriteClear" adjustColumnWidth="0" connectionId="803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P1_flight_data_raw_43" growShrinkType="overwriteClear" adjustColumnWidth="0" connectionId="37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P1_flight_data_raw_62" growShrinkType="overwriteClear" adjustColumnWidth="0" connectionId="578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P1_flight_data_raw_55" growShrinkType="overwriteClear" adjustColumnWidth="0" connectionId="499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P1_flight_data_true_3" growShrinkType="overwriteClear" adjustColumnWidth="0" connectionId="1419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P1_flight_data_raw_9" growShrinkType="overwriteClear" adjustColumnWidth="0" connectionId="647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P1_flight_data_raw_64" growShrinkType="overwriteClear" adjustColumnWidth="0" connectionId="59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P1_flight_data_true_27" growShrinkType="overwriteClear" adjustColumnWidth="0" connectionId="745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P1_flight_data_raw_67" growShrinkType="overwriteClear" adjustColumnWidth="0" connectionId="63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P1_flight_data_raw_7" growShrinkType="overwriteClear" adjustColumnWidth="0" connectionId="54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P1_flight_data_raw_40" growShrinkType="overwriteClear" adjustColumnWidth="0" connectionId="33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P1_flight_data_true_25" growShrinkType="overwriteClear" adjustColumnWidth="0" connectionId="725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P1_flight_data_true_69" growShrinkType="overwriteClear" adjustColumnWidth="0" connectionId="1210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P1_flight_data_true_74" growShrinkType="overwriteClear" adjustColumnWidth="0" connectionId="125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P1_flight_data_true_46" growShrinkType="overwriteClear" adjustColumnWidth="0" connectionId="95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P1_flight_data_true_71" growShrinkType="overwriteClear" adjustColumnWidth="0" connectionId="122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P1_flight_data_raw_44" growShrinkType="overwriteClear" adjustColumnWidth="0" connectionId="380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P1_flight_data_true_9" growShrinkType="overwriteClear" adjustColumnWidth="0" connectionId="138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P1_flight_data_raw_16" growShrinkType="overwriteClear" adjustColumnWidth="0" connectionId="7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P1_flight_data_raw_36" growShrinkType="overwriteClear" adjustColumnWidth="0" connectionId="29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P1_flight_data_true_10" growShrinkType="overwriteClear" adjustColumnWidth="0" connectionId="139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P1_flight_data_raw_46" growShrinkType="overwriteClear" adjustColumnWidth="0" connectionId="401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P1_flight_data_true_2" growShrinkType="overwriteClear" adjustColumnWidth="0" connectionId="140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P1_flight_data_raw_59" growShrinkType="overwriteClear" adjustColumnWidth="0" connectionId="552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P1_flight_data_raw_64" growShrinkType="overwriteClear" adjustColumnWidth="0" connectionId="597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P1_flight_data_true_80" growShrinkType="overwriteClear" adjustColumnWidth="0" connectionId="1319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P1_flight_data_raw_15" growShrinkType="overwriteClear" adjustColumnWidth="0" connectionId="6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P1_flight_data_raw_38" growShrinkType="overwriteClear" adjustColumnWidth="0" connectionId="311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P1_flight_data_true_13" growShrinkType="overwriteClear" adjustColumnWidth="0" connectionId="806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P1_flight_data_true_48" growShrinkType="overwriteClear" adjustColumnWidth="0" connectionId="976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P1_flight_data_raw_61" growShrinkType="overwriteClear" adjustColumnWidth="0" connectionId="570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P1_flight_data_raw_27" growShrinkType="overwriteClear" adjustColumnWidth="0" connectionId="191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P1_flight_data_raw" growShrinkType="overwriteClear" adjustColumnWidth="0" connectionId="29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P1_flight_data_true_69" growShrinkType="overwriteClear" adjustColumnWidth="0" connectionId="1211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P1_flight_data_raw_20" growShrinkType="overwriteClear" adjustColumnWidth="0" connectionId="111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P1_flight_data_raw_11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P1_flight_data_raw_10" growShrinkType="overwriteClear" adjustColumnWidth="0" connectionId="665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P1_flight_data_raw_70" growShrinkType="overwriteClear" adjustColumnWidth="0" connectionId="65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P1_flight_data_raw_37" growShrinkType="overwriteClear" adjustColumnWidth="0" connectionId="301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P1_flight_data_true_19" growShrinkType="overwriteClear" adjustColumnWidth="0" connectionId="1313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P1_flight_data_raw_54" growShrinkType="overwriteClear" adjustColumnWidth="0" connectionId="490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P1_flight_data_true_11" growShrinkType="overwriteClear" adjustColumnWidth="0" connectionId="131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P1_flight_data_true_55" growShrinkType="overwriteClear" adjustColumnWidth="0" connectionId="105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P1_flight_data_true_17" growShrinkType="overwriteClear" adjustColumnWidth="0" connectionId="1201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P1_flight_data_true_73" growShrinkType="overwriteClear" adjustColumnWidth="0" connectionId="1247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P1_flight_data_true_16" growShrinkType="overwriteClear" adjustColumnWidth="0" connectionId="113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P1_flight_data_true_31" growShrinkType="overwriteClear" adjustColumnWidth="0" connectionId="787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P1_flight_data_true_18" growShrinkType="overwriteClear" adjustColumnWidth="0" connectionId="127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P1_flight_data_true_61" growShrinkType="overwriteClear" adjustColumnWidth="0" connectionId="1117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P1_flight_data_raw_53" growShrinkType="overwriteClear" adjustColumnWidth="0" connectionId="480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P1_flight_data_true_26" growShrinkType="overwriteClear" adjustColumnWidth="0" connectionId="73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P1_flight_data_raw_40" growShrinkType="overwriteClear" adjustColumnWidth="0" connectionId="331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P1_flight_data_true_67" growShrinkType="overwriteClear" adjustColumnWidth="0" connectionId="1185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P1_flight_data_raw_26" growShrinkType="overwriteClear" adjustColumnWidth="0" connectionId="18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P1_flight_data_raw_17" growShrinkType="overwriteClear" adjustColumnWidth="0" connectionId="8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P1_flight_data_true_8" growShrinkType="overwriteClear" adjustColumnWidth="0" connectionId="137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P1_flight_data_raw_66" growShrinkType="overwriteClear" adjustColumnWidth="0" connectionId="633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P1_flight_data_raw_29" growShrinkType="overwriteClear" adjustColumnWidth="0" connectionId="21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P1_flight_data_true_38" growShrinkType="overwriteClear" adjustColumnWidth="0" connectionId="86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P1_flight_data_true_72" growShrinkType="overwriteClear" adjustColumnWidth="0" connectionId="1238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P1_flight_data_true_57" growShrinkType="overwriteClear" adjustColumnWidth="0" connectionId="1076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P1_flight_data_true_58" growShrinkType="overwriteClear" adjustColumnWidth="0" connectionId="1086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P1_flight_data_true_44" growShrinkType="overwriteClear" adjustColumnWidth="0" connectionId="936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P1_flight_data_true_45" growShrinkType="overwriteClear" adjustColumnWidth="0" connectionId="946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P1_flight_data_true_65" growShrinkType="overwriteClear" adjustColumnWidth="0" connectionId="116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P1_flight_data_true_24" growShrinkType="overwriteClear" adjustColumnWidth="0" connectionId="71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P1_flight_data_true_3" growShrinkType="overwriteClear" adjustColumnWidth="0" connectionId="1420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P1_flight_data_true_70" growShrinkType="overwriteClear" adjustColumnWidth="0" connectionId="1220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P1_flight_data_raw_23" growShrinkType="overwriteClear" adjustColumnWidth="0" connectionId="15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P1_flight_data_true_68" growShrinkType="overwriteClear" adjustColumnWidth="0" connectionId="1198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P1_flight_data_raw_49" growShrinkType="overwriteClear" adjustColumnWidth="0" connectionId="43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P1_flight_data_raw_22" growShrinkType="overwriteClear" adjustColumnWidth="0" connectionId="139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P1_flight_data_true" growShrinkType="overwriteClear" adjustColumnWidth="0" connectionId="1410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P1_flight_data_true_27" growShrinkType="overwriteClear" adjustColumnWidth="0" connectionId="74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P1_flight_data_true_39" growShrinkType="overwriteClear" adjustColumnWidth="0" connectionId="876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P1_flight_data_raw_36" growShrinkType="overwriteClear" adjustColumnWidth="0" connectionId="291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P1_flight_data_raw_6" growShrinkType="overwriteClear" adjustColumnWidth="0" connectionId="47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P1_flight_data_true_76" growShrinkType="overwriteClear" adjustColumnWidth="0" connectionId="129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P1_flight_data_raw_39" growShrinkType="overwriteClear" adjustColumnWidth="0" connectionId="32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P1_flight_data_true_71" growShrinkType="overwriteClear" adjustColumnWidth="0" connectionId="1229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P1_flight_data_raw_21" growShrinkType="overwriteClear" adjustColumnWidth="0" connectionId="122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P1_flight_data_raw_34" growShrinkType="overwriteClear" adjustColumnWidth="0" connectionId="27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P1_flight_data_raw_13" growShrinkType="overwriteClear" adjustColumnWidth="0" connectionId="41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P1_flight_data_raw_1" growShrinkType="overwriteClear" adjustColumnWidth="0" connectionId="639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P1_flight_data_true_35" growShrinkType="overwriteClear" adjustColumnWidth="0" connectionId="836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P1_flight_data_raw_24" growShrinkType="overwriteClear" adjustColumnWidth="0" connectionId="16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P1_flight_data_true_77" growShrinkType="overwriteClear" adjustColumnWidth="0" connectionId="130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P1_flight_data_raw_58" growShrinkType="overwriteClear" adjustColumnWidth="0" connectionId="533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P1_flight_data_raw_28" growShrinkType="overwriteClear" adjustColumnWidth="0" connectionId="201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P1_flight_data_raw_69" growShrinkType="overwriteClear" adjustColumnWidth="0" connectionId="653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P1_flight_data_true_29" growShrinkType="overwriteClear" adjustColumnWidth="0" connectionId="76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P1_flight_data_raw_47" growShrinkType="overwriteClear" adjustColumnWidth="0" connectionId="41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P1_flight_data_true_6" growShrinkType="overwriteClear" adjustColumnWidth="0" connectionId="1369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P1_flight_data_true_47" growShrinkType="overwriteClear" adjustColumnWidth="0" connectionId="96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P1_flight_data_true_66" growShrinkType="overwriteClear" adjustColumnWidth="0" connectionId="1175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P1_flight_data_true_51" growShrinkType="overwriteClear" adjustColumnWidth="0" connectionId="100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P1_flight_data_raw_42" growShrinkType="overwriteClear" adjustColumnWidth="0" connectionId="361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P1_flight_data_true_42" growShrinkType="overwriteClear" adjustColumnWidth="0" connectionId="914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P1_flight_data_raw_65" growShrinkType="overwriteClear" adjustColumnWidth="0" connectionId="630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P1_flight_data_raw_52" growShrinkType="overwriteClear" adjustColumnWidth="0" connectionId="468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P1_flight_data_true_43" growShrinkType="overwriteClear" adjustColumnWidth="0" connectionId="92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P1_flight_data_true_63" growShrinkType="overwriteClear" adjustColumnWidth="0" connectionId="114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P1_flight_data_true_12" growShrinkType="overwriteClear" adjustColumnWidth="0" connectionId="69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P1_flight_data_raw_4" growShrinkType="overwriteClear" adjustColumnWidth="0" connectionId="249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P1_flight_data_true_21" growShrinkType="overwriteClear" adjustColumnWidth="0" connectionId="677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P1_flight_data_true_4" growShrinkType="overwriteClear" adjustColumnWidth="0" connectionId="1349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P1_flight_data_raw_44" growShrinkType="overwriteClear" adjustColumnWidth="0" connectionId="381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P1_flight_data_true_40" growShrinkType="overwriteClear" adjustColumnWidth="0" connectionId="88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P1_flight_data_raw_55" growShrinkType="overwriteClear" adjustColumnWidth="0" connectionId="500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P1_flight_data_raw_48" growShrinkType="overwriteClear" adjustColumnWidth="0" connectionId="421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P1_flight_data_raw_62" growShrinkType="overwriteClear" adjustColumnWidth="0" connectionId="579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P1_flight_data_true_25" growShrinkType="overwriteClear" adjustColumnWidth="0" connectionId="726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P1_flight_data_true_78" growShrinkType="overwriteClear" adjustColumnWidth="0" connectionId="131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P1_flight_data_raw_67" growShrinkType="overwriteClear" adjustColumnWidth="0" connectionId="63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P1_flight_data_true_5" growShrinkType="overwriteClear" adjustColumnWidth="0" connectionId="1359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P1_flight_data_true_34" growShrinkType="overwriteClear" adjustColumnWidth="0" connectionId="826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P1_flight_data_raw_50" growShrinkType="overwriteClear" adjustColumnWidth="0" connectionId="441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P1_flight_data_true_36" growShrinkType="overwriteClear" adjustColumnWidth="0" connectionId="84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P1_flight_data_raw_9" growShrinkType="overwriteClear" adjustColumnWidth="0" connectionId="648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P1_flight_data_raw_56" growShrinkType="overwriteClear" adjustColumnWidth="0" connectionId="510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P1_flight_data_true_79" growShrinkType="overwriteClear" adjustColumnWidth="0" connectionId="131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P1_flight_data_raw_51" growShrinkType="overwriteClear" adjustColumnWidth="0" connectionId="452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P1_flight_data_true_53" growShrinkType="overwriteClear" adjustColumnWidth="0" connectionId="103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P1_flight_data_true_62" growShrinkType="overwriteClear" adjustColumnWidth="0" connectionId="1133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P1_flight_data_raw_43" growShrinkType="overwriteClear" adjustColumnWidth="0" connectionId="371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P1_flight_data_raw_45" growShrinkType="overwriteClear" adjustColumnWidth="0" connectionId="391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P1_flight_data_raw_33" growShrinkType="overwriteClear" adjustColumnWidth="0" connectionId="261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P1_flight_data_true_22" growShrinkType="overwriteClear" adjustColumnWidth="0" connectionId="694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P1_flight_data_true_46" growShrinkType="overwriteClear" adjustColumnWidth="0" connectionId="956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P1_flight_data_raw_31" growShrinkType="overwriteClear" adjustColumnWidth="0" connectionId="232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P1_flight_data_true_14" growShrinkType="overwriteClear" adjustColumnWidth="0" connectionId="91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P1_flight_data_true_41" growShrinkType="overwriteClear" adjustColumnWidth="0" connectionId="89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P1_flight_data_true_9" growShrinkType="overwriteClear" adjustColumnWidth="0" connectionId="1381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P1_flight_data_true_23" growShrinkType="overwriteClear" adjustColumnWidth="0" connectionId="706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P1_flight_data_raw_3" growShrinkType="overwriteClear" adjustColumnWidth="0" connectionId="14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P1_flight_data_true_33" growShrinkType="overwriteClear" adjustColumnWidth="0" connectionId="816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P1_flight_data_raw_30" growShrinkType="overwriteClear" adjustColumnWidth="0" connectionId="221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P1_flight_data_true_28" growShrinkType="overwriteClear" adjustColumnWidth="0" connectionId="756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P1_flight_data_raw_63" growShrinkType="overwriteClear" adjustColumnWidth="0" connectionId="58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P1_flight_data_raw_68" growShrinkType="overwriteClear" adjustColumnWidth="0" connectionId="651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P1_flight_data_true_37" growShrinkType="overwriteClear" adjustColumnWidth="0" connectionId="85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P1_flight_data_raw_8" growShrinkType="overwriteClear" adjustColumnWidth="0" connectionId="612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P1_flight_data_true_74" growShrinkType="overwriteClear" adjustColumnWidth="0" connectionId="1256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P1_flight_data_raw_57" growShrinkType="overwriteClear" adjustColumnWidth="0" connectionId="520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P1_flight_data_raw_7" growShrinkType="overwriteClear" adjustColumnWidth="0" connectionId="54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P1_flight_data_true_20" growShrinkType="overwriteClear" adjustColumnWidth="0" connectionId="133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P1_flight_data_raw_16" growShrinkType="overwriteClear" adjustColumnWidth="0" connectionId="71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P1_flight_data_raw_41" growShrinkType="overwriteClear" adjustColumnWidth="0" connectionId="34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P1_flight_data_true_56" growShrinkType="overwriteClear" adjustColumnWidth="0" connectionId="106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P1_flight_data_true_75" growShrinkType="overwriteClear" adjustColumnWidth="0" connectionId="1295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P1_flight_data_true_32" growShrinkType="overwriteClear" adjustColumnWidth="0" connectionId="804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P1_flight_data_true_49" growShrinkType="overwriteClear" adjustColumnWidth="0" connectionId="986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P1_flight_data_raw_60" growShrinkType="overwriteClear" adjustColumnWidth="0" connectionId="561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P1_flight_data_true_30" growShrinkType="overwriteClear" adjustColumnWidth="0" connectionId="776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P1_flight_data_true_54" growShrinkType="overwriteClear" adjustColumnWidth="0" connectionId="104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P1_flight_data_true_60" growShrinkType="overwriteClear" adjustColumnWidth="0" connectionId="1106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P1_flight_data_raw_35" growShrinkType="overwriteClear" adjustColumnWidth="0" connectionId="281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P1_flight_data_raw_32" growShrinkType="overwriteClear" adjustColumnWidth="0" connectionId="251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P1_flight_data_raw_5" growShrinkType="overwriteClear" adjustColumnWidth="0" connectionId="35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P1_flight_data_raw_14" growShrinkType="overwriteClear" adjustColumnWidth="0" connectionId="51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P1_flight_data_true_50" growShrinkType="overwriteClear" adjustColumnWidth="0" connectionId="996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P1_flight_data_raw_18" growShrinkType="overwriteClear" adjustColumnWidth="0" connectionId="91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P1_flight_data_true_15" growShrinkType="overwriteClear" adjustColumnWidth="0" connectionId="1024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P1_flight_data_true_64" growShrinkType="overwriteClear" adjustColumnWidth="0" connectionId="1155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P1_flight_data_raw_25" growShrinkType="overwriteClear" adjustColumnWidth="0" connectionId="171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P1_flight_data_raw_12" growShrinkType="overwriteClear" adjustColumnWidth="0" connectionId="31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P1_flight_data_true_52" growShrinkType="overwriteClear" adjustColumnWidth="0" connectionId="1026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P1_flight_data_true_59" growShrinkType="overwriteClear" adjustColumnWidth="0" connectionId="1096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P1_flight_data_raw_19" growShrinkType="overwriteClear" adjustColumnWidth="0" connectionId="10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9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44" Type="http://schemas.openxmlformats.org/officeDocument/2006/relationships/queryTable" Target="../queryTables/queryTable39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51" Type="http://schemas.openxmlformats.org/officeDocument/2006/relationships/queryTable" Target="../queryTables/queryTable146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26" Type="http://schemas.openxmlformats.org/officeDocument/2006/relationships/queryTable" Target="../queryTables/queryTable21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6" Type="http://schemas.openxmlformats.org/officeDocument/2006/relationships/queryTable" Target="../queryTables/queryTable11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59.xml"/><Relationship Id="rId21" Type="http://schemas.openxmlformats.org/officeDocument/2006/relationships/queryTable" Target="../queryTables/queryTable163.xml"/><Relationship Id="rId42" Type="http://schemas.openxmlformats.org/officeDocument/2006/relationships/queryTable" Target="../queryTables/queryTable184.xml"/><Relationship Id="rId47" Type="http://schemas.openxmlformats.org/officeDocument/2006/relationships/queryTable" Target="../queryTables/queryTable189.xml"/><Relationship Id="rId63" Type="http://schemas.openxmlformats.org/officeDocument/2006/relationships/queryTable" Target="../queryTables/queryTable205.xml"/><Relationship Id="rId68" Type="http://schemas.openxmlformats.org/officeDocument/2006/relationships/queryTable" Target="../queryTables/queryTable210.xml"/><Relationship Id="rId84" Type="http://schemas.openxmlformats.org/officeDocument/2006/relationships/queryTable" Target="../queryTables/queryTable226.xml"/><Relationship Id="rId89" Type="http://schemas.openxmlformats.org/officeDocument/2006/relationships/queryTable" Target="../queryTables/queryTable231.xml"/><Relationship Id="rId112" Type="http://schemas.openxmlformats.org/officeDocument/2006/relationships/queryTable" Target="../queryTables/queryTable254.xml"/><Relationship Id="rId16" Type="http://schemas.openxmlformats.org/officeDocument/2006/relationships/queryTable" Target="../queryTables/queryTable158.xml"/><Relationship Id="rId107" Type="http://schemas.openxmlformats.org/officeDocument/2006/relationships/queryTable" Target="../queryTables/queryTable249.xml"/><Relationship Id="rId11" Type="http://schemas.openxmlformats.org/officeDocument/2006/relationships/queryTable" Target="../queryTables/queryTable153.xml"/><Relationship Id="rId32" Type="http://schemas.openxmlformats.org/officeDocument/2006/relationships/queryTable" Target="../queryTables/queryTable174.xml"/><Relationship Id="rId37" Type="http://schemas.openxmlformats.org/officeDocument/2006/relationships/queryTable" Target="../queryTables/queryTable179.xml"/><Relationship Id="rId53" Type="http://schemas.openxmlformats.org/officeDocument/2006/relationships/queryTable" Target="../queryTables/queryTable195.xml"/><Relationship Id="rId58" Type="http://schemas.openxmlformats.org/officeDocument/2006/relationships/queryTable" Target="../queryTables/queryTable200.xml"/><Relationship Id="rId74" Type="http://schemas.openxmlformats.org/officeDocument/2006/relationships/queryTable" Target="../queryTables/queryTable216.xml"/><Relationship Id="rId79" Type="http://schemas.openxmlformats.org/officeDocument/2006/relationships/queryTable" Target="../queryTables/queryTable221.xml"/><Relationship Id="rId102" Type="http://schemas.openxmlformats.org/officeDocument/2006/relationships/queryTable" Target="../queryTables/queryTable244.xml"/><Relationship Id="rId123" Type="http://schemas.openxmlformats.org/officeDocument/2006/relationships/queryTable" Target="../queryTables/queryTable265.xml"/><Relationship Id="rId128" Type="http://schemas.openxmlformats.org/officeDocument/2006/relationships/queryTable" Target="../queryTables/queryTable270.xml"/><Relationship Id="rId5" Type="http://schemas.openxmlformats.org/officeDocument/2006/relationships/image" Target="../media/image2.emf"/><Relationship Id="rId90" Type="http://schemas.openxmlformats.org/officeDocument/2006/relationships/queryTable" Target="../queryTables/queryTable232.xml"/><Relationship Id="rId95" Type="http://schemas.openxmlformats.org/officeDocument/2006/relationships/queryTable" Target="../queryTables/queryTable237.xml"/><Relationship Id="rId22" Type="http://schemas.openxmlformats.org/officeDocument/2006/relationships/queryTable" Target="../queryTables/queryTable164.xml"/><Relationship Id="rId27" Type="http://schemas.openxmlformats.org/officeDocument/2006/relationships/queryTable" Target="../queryTables/queryTable169.xml"/><Relationship Id="rId43" Type="http://schemas.openxmlformats.org/officeDocument/2006/relationships/queryTable" Target="../queryTables/queryTable185.xml"/><Relationship Id="rId48" Type="http://schemas.openxmlformats.org/officeDocument/2006/relationships/queryTable" Target="../queryTables/queryTable190.xml"/><Relationship Id="rId64" Type="http://schemas.openxmlformats.org/officeDocument/2006/relationships/queryTable" Target="../queryTables/queryTable206.xml"/><Relationship Id="rId69" Type="http://schemas.openxmlformats.org/officeDocument/2006/relationships/queryTable" Target="../queryTables/queryTable211.xml"/><Relationship Id="rId113" Type="http://schemas.openxmlformats.org/officeDocument/2006/relationships/queryTable" Target="../queryTables/queryTable255.xml"/><Relationship Id="rId118" Type="http://schemas.openxmlformats.org/officeDocument/2006/relationships/queryTable" Target="../queryTables/queryTable260.xml"/><Relationship Id="rId80" Type="http://schemas.openxmlformats.org/officeDocument/2006/relationships/queryTable" Target="../queryTables/queryTable222.xml"/><Relationship Id="rId85" Type="http://schemas.openxmlformats.org/officeDocument/2006/relationships/queryTable" Target="../queryTables/queryTable227.xml"/><Relationship Id="rId12" Type="http://schemas.openxmlformats.org/officeDocument/2006/relationships/queryTable" Target="../queryTables/queryTable154.xml"/><Relationship Id="rId17" Type="http://schemas.openxmlformats.org/officeDocument/2006/relationships/queryTable" Target="../queryTables/queryTable159.xml"/><Relationship Id="rId33" Type="http://schemas.openxmlformats.org/officeDocument/2006/relationships/queryTable" Target="../queryTables/queryTable175.xml"/><Relationship Id="rId38" Type="http://schemas.openxmlformats.org/officeDocument/2006/relationships/queryTable" Target="../queryTables/queryTable180.xml"/><Relationship Id="rId59" Type="http://schemas.openxmlformats.org/officeDocument/2006/relationships/queryTable" Target="../queryTables/queryTable201.xml"/><Relationship Id="rId103" Type="http://schemas.openxmlformats.org/officeDocument/2006/relationships/queryTable" Target="../queryTables/queryTable245.xml"/><Relationship Id="rId108" Type="http://schemas.openxmlformats.org/officeDocument/2006/relationships/queryTable" Target="../queryTables/queryTable250.xml"/><Relationship Id="rId124" Type="http://schemas.openxmlformats.org/officeDocument/2006/relationships/queryTable" Target="../queryTables/queryTable266.xml"/><Relationship Id="rId129" Type="http://schemas.openxmlformats.org/officeDocument/2006/relationships/queryTable" Target="../queryTables/queryTable271.xml"/><Relationship Id="rId54" Type="http://schemas.openxmlformats.org/officeDocument/2006/relationships/queryTable" Target="../queryTables/queryTable196.xml"/><Relationship Id="rId70" Type="http://schemas.openxmlformats.org/officeDocument/2006/relationships/queryTable" Target="../queryTables/queryTable212.xml"/><Relationship Id="rId75" Type="http://schemas.openxmlformats.org/officeDocument/2006/relationships/queryTable" Target="../queryTables/queryTable217.xml"/><Relationship Id="rId91" Type="http://schemas.openxmlformats.org/officeDocument/2006/relationships/queryTable" Target="../queryTables/queryTable233.xml"/><Relationship Id="rId96" Type="http://schemas.openxmlformats.org/officeDocument/2006/relationships/queryTable" Target="../queryTables/queryTable238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48.xml"/><Relationship Id="rId23" Type="http://schemas.openxmlformats.org/officeDocument/2006/relationships/queryTable" Target="../queryTables/queryTable165.xml"/><Relationship Id="rId28" Type="http://schemas.openxmlformats.org/officeDocument/2006/relationships/queryTable" Target="../queryTables/queryTable170.xml"/><Relationship Id="rId49" Type="http://schemas.openxmlformats.org/officeDocument/2006/relationships/queryTable" Target="../queryTables/queryTable191.xml"/><Relationship Id="rId114" Type="http://schemas.openxmlformats.org/officeDocument/2006/relationships/queryTable" Target="../queryTables/queryTable256.xml"/><Relationship Id="rId119" Type="http://schemas.openxmlformats.org/officeDocument/2006/relationships/queryTable" Target="../queryTables/queryTable261.xml"/><Relationship Id="rId44" Type="http://schemas.openxmlformats.org/officeDocument/2006/relationships/queryTable" Target="../queryTables/queryTable186.xml"/><Relationship Id="rId60" Type="http://schemas.openxmlformats.org/officeDocument/2006/relationships/queryTable" Target="../queryTables/queryTable202.xml"/><Relationship Id="rId65" Type="http://schemas.openxmlformats.org/officeDocument/2006/relationships/queryTable" Target="../queryTables/queryTable207.xml"/><Relationship Id="rId81" Type="http://schemas.openxmlformats.org/officeDocument/2006/relationships/queryTable" Target="../queryTables/queryTable223.xml"/><Relationship Id="rId86" Type="http://schemas.openxmlformats.org/officeDocument/2006/relationships/queryTable" Target="../queryTables/queryTable228.xml"/><Relationship Id="rId130" Type="http://schemas.openxmlformats.org/officeDocument/2006/relationships/queryTable" Target="../queryTables/queryTable272.xml"/><Relationship Id="rId13" Type="http://schemas.openxmlformats.org/officeDocument/2006/relationships/queryTable" Target="../queryTables/queryTable155.xml"/><Relationship Id="rId18" Type="http://schemas.openxmlformats.org/officeDocument/2006/relationships/queryTable" Target="../queryTables/queryTable160.xml"/><Relationship Id="rId39" Type="http://schemas.openxmlformats.org/officeDocument/2006/relationships/queryTable" Target="../queryTables/queryTable181.xml"/><Relationship Id="rId109" Type="http://schemas.openxmlformats.org/officeDocument/2006/relationships/queryTable" Target="../queryTables/queryTable251.xml"/><Relationship Id="rId34" Type="http://schemas.openxmlformats.org/officeDocument/2006/relationships/queryTable" Target="../queryTables/queryTable176.xml"/><Relationship Id="rId50" Type="http://schemas.openxmlformats.org/officeDocument/2006/relationships/queryTable" Target="../queryTables/queryTable192.xml"/><Relationship Id="rId55" Type="http://schemas.openxmlformats.org/officeDocument/2006/relationships/queryTable" Target="../queryTables/queryTable197.xml"/><Relationship Id="rId76" Type="http://schemas.openxmlformats.org/officeDocument/2006/relationships/queryTable" Target="../queryTables/queryTable218.xml"/><Relationship Id="rId97" Type="http://schemas.openxmlformats.org/officeDocument/2006/relationships/queryTable" Target="../queryTables/queryTable239.xml"/><Relationship Id="rId104" Type="http://schemas.openxmlformats.org/officeDocument/2006/relationships/queryTable" Target="../queryTables/queryTable246.xml"/><Relationship Id="rId120" Type="http://schemas.openxmlformats.org/officeDocument/2006/relationships/queryTable" Target="../queryTables/queryTable262.xml"/><Relationship Id="rId125" Type="http://schemas.openxmlformats.org/officeDocument/2006/relationships/queryTable" Target="../queryTables/queryTable267.xml"/><Relationship Id="rId7" Type="http://schemas.openxmlformats.org/officeDocument/2006/relationships/queryTable" Target="../queryTables/queryTable149.xml"/><Relationship Id="rId71" Type="http://schemas.openxmlformats.org/officeDocument/2006/relationships/queryTable" Target="../queryTables/queryTable213.xml"/><Relationship Id="rId92" Type="http://schemas.openxmlformats.org/officeDocument/2006/relationships/queryTable" Target="../queryTables/queryTable234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171.xml"/><Relationship Id="rId24" Type="http://schemas.openxmlformats.org/officeDocument/2006/relationships/queryTable" Target="../queryTables/queryTable166.xml"/><Relationship Id="rId40" Type="http://schemas.openxmlformats.org/officeDocument/2006/relationships/queryTable" Target="../queryTables/queryTable182.xml"/><Relationship Id="rId45" Type="http://schemas.openxmlformats.org/officeDocument/2006/relationships/queryTable" Target="../queryTables/queryTable187.xml"/><Relationship Id="rId66" Type="http://schemas.openxmlformats.org/officeDocument/2006/relationships/queryTable" Target="../queryTables/queryTable208.xml"/><Relationship Id="rId87" Type="http://schemas.openxmlformats.org/officeDocument/2006/relationships/queryTable" Target="../queryTables/queryTable229.xml"/><Relationship Id="rId110" Type="http://schemas.openxmlformats.org/officeDocument/2006/relationships/queryTable" Target="../queryTables/queryTable252.xml"/><Relationship Id="rId115" Type="http://schemas.openxmlformats.org/officeDocument/2006/relationships/queryTable" Target="../queryTables/queryTable257.xml"/><Relationship Id="rId131" Type="http://schemas.openxmlformats.org/officeDocument/2006/relationships/queryTable" Target="../queryTables/queryTable273.xml"/><Relationship Id="rId61" Type="http://schemas.openxmlformats.org/officeDocument/2006/relationships/queryTable" Target="../queryTables/queryTable203.xml"/><Relationship Id="rId82" Type="http://schemas.openxmlformats.org/officeDocument/2006/relationships/queryTable" Target="../queryTables/queryTable224.xml"/><Relationship Id="rId19" Type="http://schemas.openxmlformats.org/officeDocument/2006/relationships/queryTable" Target="../queryTables/queryTable161.xml"/><Relationship Id="rId14" Type="http://schemas.openxmlformats.org/officeDocument/2006/relationships/queryTable" Target="../queryTables/queryTable156.xml"/><Relationship Id="rId30" Type="http://schemas.openxmlformats.org/officeDocument/2006/relationships/queryTable" Target="../queryTables/queryTable172.xml"/><Relationship Id="rId35" Type="http://schemas.openxmlformats.org/officeDocument/2006/relationships/queryTable" Target="../queryTables/queryTable177.xml"/><Relationship Id="rId56" Type="http://schemas.openxmlformats.org/officeDocument/2006/relationships/queryTable" Target="../queryTables/queryTable198.xml"/><Relationship Id="rId77" Type="http://schemas.openxmlformats.org/officeDocument/2006/relationships/queryTable" Target="../queryTables/queryTable219.xml"/><Relationship Id="rId100" Type="http://schemas.openxmlformats.org/officeDocument/2006/relationships/queryTable" Target="../queryTables/queryTable242.xml"/><Relationship Id="rId105" Type="http://schemas.openxmlformats.org/officeDocument/2006/relationships/queryTable" Target="../queryTables/queryTable247.xml"/><Relationship Id="rId126" Type="http://schemas.openxmlformats.org/officeDocument/2006/relationships/queryTable" Target="../queryTables/queryTable268.xml"/><Relationship Id="rId8" Type="http://schemas.openxmlformats.org/officeDocument/2006/relationships/queryTable" Target="../queryTables/queryTable150.xml"/><Relationship Id="rId51" Type="http://schemas.openxmlformats.org/officeDocument/2006/relationships/queryTable" Target="../queryTables/queryTable193.xml"/><Relationship Id="rId72" Type="http://schemas.openxmlformats.org/officeDocument/2006/relationships/queryTable" Target="../queryTables/queryTable214.xml"/><Relationship Id="rId93" Type="http://schemas.openxmlformats.org/officeDocument/2006/relationships/queryTable" Target="../queryTables/queryTable235.xml"/><Relationship Id="rId98" Type="http://schemas.openxmlformats.org/officeDocument/2006/relationships/queryTable" Target="../queryTables/queryTable240.xml"/><Relationship Id="rId121" Type="http://schemas.openxmlformats.org/officeDocument/2006/relationships/queryTable" Target="../queryTables/queryTable263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167.xml"/><Relationship Id="rId46" Type="http://schemas.openxmlformats.org/officeDocument/2006/relationships/queryTable" Target="../queryTables/queryTable188.xml"/><Relationship Id="rId67" Type="http://schemas.openxmlformats.org/officeDocument/2006/relationships/queryTable" Target="../queryTables/queryTable209.xml"/><Relationship Id="rId116" Type="http://schemas.openxmlformats.org/officeDocument/2006/relationships/queryTable" Target="../queryTables/queryTable258.xml"/><Relationship Id="rId20" Type="http://schemas.openxmlformats.org/officeDocument/2006/relationships/queryTable" Target="../queryTables/queryTable162.xml"/><Relationship Id="rId41" Type="http://schemas.openxmlformats.org/officeDocument/2006/relationships/queryTable" Target="../queryTables/queryTable183.xml"/><Relationship Id="rId62" Type="http://schemas.openxmlformats.org/officeDocument/2006/relationships/queryTable" Target="../queryTables/queryTable204.xml"/><Relationship Id="rId83" Type="http://schemas.openxmlformats.org/officeDocument/2006/relationships/queryTable" Target="../queryTables/queryTable225.xml"/><Relationship Id="rId88" Type="http://schemas.openxmlformats.org/officeDocument/2006/relationships/queryTable" Target="../queryTables/queryTable230.xml"/><Relationship Id="rId111" Type="http://schemas.openxmlformats.org/officeDocument/2006/relationships/queryTable" Target="../queryTables/queryTable253.xml"/><Relationship Id="rId132" Type="http://schemas.openxmlformats.org/officeDocument/2006/relationships/queryTable" Target="../queryTables/queryTable274.xml"/><Relationship Id="rId15" Type="http://schemas.openxmlformats.org/officeDocument/2006/relationships/queryTable" Target="../queryTables/queryTable157.xml"/><Relationship Id="rId36" Type="http://schemas.openxmlformats.org/officeDocument/2006/relationships/queryTable" Target="../queryTables/queryTable178.xml"/><Relationship Id="rId57" Type="http://schemas.openxmlformats.org/officeDocument/2006/relationships/queryTable" Target="../queryTables/queryTable199.xml"/><Relationship Id="rId106" Type="http://schemas.openxmlformats.org/officeDocument/2006/relationships/queryTable" Target="../queryTables/queryTable248.xml"/><Relationship Id="rId127" Type="http://schemas.openxmlformats.org/officeDocument/2006/relationships/queryTable" Target="../queryTables/queryTable269.xml"/><Relationship Id="rId10" Type="http://schemas.openxmlformats.org/officeDocument/2006/relationships/queryTable" Target="../queryTables/queryTable152.xml"/><Relationship Id="rId31" Type="http://schemas.openxmlformats.org/officeDocument/2006/relationships/queryTable" Target="../queryTables/queryTable173.xml"/><Relationship Id="rId52" Type="http://schemas.openxmlformats.org/officeDocument/2006/relationships/queryTable" Target="../queryTables/queryTable194.xml"/><Relationship Id="rId73" Type="http://schemas.openxmlformats.org/officeDocument/2006/relationships/queryTable" Target="../queryTables/queryTable215.xml"/><Relationship Id="rId78" Type="http://schemas.openxmlformats.org/officeDocument/2006/relationships/queryTable" Target="../queryTables/queryTable220.xml"/><Relationship Id="rId94" Type="http://schemas.openxmlformats.org/officeDocument/2006/relationships/queryTable" Target="../queryTables/queryTable236.xml"/><Relationship Id="rId99" Type="http://schemas.openxmlformats.org/officeDocument/2006/relationships/queryTable" Target="../queryTables/queryTable241.xml"/><Relationship Id="rId101" Type="http://schemas.openxmlformats.org/officeDocument/2006/relationships/queryTable" Target="../queryTables/queryTable243.xml"/><Relationship Id="rId122" Type="http://schemas.openxmlformats.org/officeDocument/2006/relationships/queryTable" Target="../queryTables/queryTable264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51.xml"/><Relationship Id="rId26" Type="http://schemas.openxmlformats.org/officeDocument/2006/relationships/queryTable" Target="../queryTables/queryTable16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86.xml"/><Relationship Id="rId21" Type="http://schemas.openxmlformats.org/officeDocument/2006/relationships/queryTable" Target="../queryTables/queryTable290.xml"/><Relationship Id="rId42" Type="http://schemas.openxmlformats.org/officeDocument/2006/relationships/queryTable" Target="../queryTables/queryTable311.xml"/><Relationship Id="rId63" Type="http://schemas.openxmlformats.org/officeDocument/2006/relationships/queryTable" Target="../queryTables/queryTable332.xml"/><Relationship Id="rId84" Type="http://schemas.openxmlformats.org/officeDocument/2006/relationships/queryTable" Target="../queryTables/queryTable353.xml"/><Relationship Id="rId138" Type="http://schemas.openxmlformats.org/officeDocument/2006/relationships/queryTable" Target="../queryTables/queryTable407.xml"/><Relationship Id="rId107" Type="http://schemas.openxmlformats.org/officeDocument/2006/relationships/queryTable" Target="../queryTables/queryTable376.xml"/><Relationship Id="rId11" Type="http://schemas.openxmlformats.org/officeDocument/2006/relationships/queryTable" Target="../queryTables/queryTable280.xml"/><Relationship Id="rId32" Type="http://schemas.openxmlformats.org/officeDocument/2006/relationships/queryTable" Target="../queryTables/queryTable301.xml"/><Relationship Id="rId37" Type="http://schemas.openxmlformats.org/officeDocument/2006/relationships/queryTable" Target="../queryTables/queryTable306.xml"/><Relationship Id="rId53" Type="http://schemas.openxmlformats.org/officeDocument/2006/relationships/queryTable" Target="../queryTables/queryTable322.xml"/><Relationship Id="rId58" Type="http://schemas.openxmlformats.org/officeDocument/2006/relationships/queryTable" Target="../queryTables/queryTable327.xml"/><Relationship Id="rId74" Type="http://schemas.openxmlformats.org/officeDocument/2006/relationships/queryTable" Target="../queryTables/queryTable343.xml"/><Relationship Id="rId79" Type="http://schemas.openxmlformats.org/officeDocument/2006/relationships/queryTable" Target="../queryTables/queryTable348.xml"/><Relationship Id="rId102" Type="http://schemas.openxmlformats.org/officeDocument/2006/relationships/queryTable" Target="../queryTables/queryTable371.xml"/><Relationship Id="rId123" Type="http://schemas.openxmlformats.org/officeDocument/2006/relationships/queryTable" Target="../queryTables/queryTable392.xml"/><Relationship Id="rId128" Type="http://schemas.openxmlformats.org/officeDocument/2006/relationships/queryTable" Target="../queryTables/queryTable397.xml"/><Relationship Id="rId5" Type="http://schemas.openxmlformats.org/officeDocument/2006/relationships/image" Target="../media/image3.emf"/><Relationship Id="rId90" Type="http://schemas.openxmlformats.org/officeDocument/2006/relationships/queryTable" Target="../queryTables/queryTable359.xml"/><Relationship Id="rId95" Type="http://schemas.openxmlformats.org/officeDocument/2006/relationships/queryTable" Target="../queryTables/queryTable364.xml"/><Relationship Id="rId22" Type="http://schemas.openxmlformats.org/officeDocument/2006/relationships/queryTable" Target="../queryTables/queryTable291.xml"/><Relationship Id="rId27" Type="http://schemas.openxmlformats.org/officeDocument/2006/relationships/queryTable" Target="../queryTables/queryTable296.xml"/><Relationship Id="rId43" Type="http://schemas.openxmlformats.org/officeDocument/2006/relationships/queryTable" Target="../queryTables/queryTable312.xml"/><Relationship Id="rId48" Type="http://schemas.openxmlformats.org/officeDocument/2006/relationships/queryTable" Target="../queryTables/queryTable317.xml"/><Relationship Id="rId64" Type="http://schemas.openxmlformats.org/officeDocument/2006/relationships/queryTable" Target="../queryTables/queryTable333.xml"/><Relationship Id="rId69" Type="http://schemas.openxmlformats.org/officeDocument/2006/relationships/queryTable" Target="../queryTables/queryTable338.xml"/><Relationship Id="rId113" Type="http://schemas.openxmlformats.org/officeDocument/2006/relationships/queryTable" Target="../queryTables/queryTable382.xml"/><Relationship Id="rId118" Type="http://schemas.openxmlformats.org/officeDocument/2006/relationships/queryTable" Target="../queryTables/queryTable387.xml"/><Relationship Id="rId134" Type="http://schemas.openxmlformats.org/officeDocument/2006/relationships/queryTable" Target="../queryTables/queryTable403.xml"/><Relationship Id="rId139" Type="http://schemas.openxmlformats.org/officeDocument/2006/relationships/queryTable" Target="../queryTables/queryTable408.xml"/><Relationship Id="rId80" Type="http://schemas.openxmlformats.org/officeDocument/2006/relationships/queryTable" Target="../queryTables/queryTable349.xml"/><Relationship Id="rId85" Type="http://schemas.openxmlformats.org/officeDocument/2006/relationships/queryTable" Target="../queryTables/queryTable354.xml"/><Relationship Id="rId12" Type="http://schemas.openxmlformats.org/officeDocument/2006/relationships/queryTable" Target="../queryTables/queryTable281.xml"/><Relationship Id="rId17" Type="http://schemas.openxmlformats.org/officeDocument/2006/relationships/queryTable" Target="../queryTables/queryTable286.xml"/><Relationship Id="rId33" Type="http://schemas.openxmlformats.org/officeDocument/2006/relationships/queryTable" Target="../queryTables/queryTable302.xml"/><Relationship Id="rId38" Type="http://schemas.openxmlformats.org/officeDocument/2006/relationships/queryTable" Target="../queryTables/queryTable307.xml"/><Relationship Id="rId59" Type="http://schemas.openxmlformats.org/officeDocument/2006/relationships/queryTable" Target="../queryTables/queryTable328.xml"/><Relationship Id="rId103" Type="http://schemas.openxmlformats.org/officeDocument/2006/relationships/queryTable" Target="../queryTables/queryTable372.xml"/><Relationship Id="rId108" Type="http://schemas.openxmlformats.org/officeDocument/2006/relationships/queryTable" Target="../queryTables/queryTable377.xml"/><Relationship Id="rId124" Type="http://schemas.openxmlformats.org/officeDocument/2006/relationships/queryTable" Target="../queryTables/queryTable393.xml"/><Relationship Id="rId129" Type="http://schemas.openxmlformats.org/officeDocument/2006/relationships/queryTable" Target="../queryTables/queryTable398.xml"/><Relationship Id="rId54" Type="http://schemas.openxmlformats.org/officeDocument/2006/relationships/queryTable" Target="../queryTables/queryTable323.xml"/><Relationship Id="rId70" Type="http://schemas.openxmlformats.org/officeDocument/2006/relationships/queryTable" Target="../queryTables/queryTable339.xml"/><Relationship Id="rId75" Type="http://schemas.openxmlformats.org/officeDocument/2006/relationships/queryTable" Target="../queryTables/queryTable344.xml"/><Relationship Id="rId91" Type="http://schemas.openxmlformats.org/officeDocument/2006/relationships/queryTable" Target="../queryTables/queryTable360.xml"/><Relationship Id="rId96" Type="http://schemas.openxmlformats.org/officeDocument/2006/relationships/queryTable" Target="../queryTables/queryTable365.xml"/><Relationship Id="rId140" Type="http://schemas.openxmlformats.org/officeDocument/2006/relationships/queryTable" Target="../queryTables/queryTable40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275.xml"/><Relationship Id="rId23" Type="http://schemas.openxmlformats.org/officeDocument/2006/relationships/queryTable" Target="../queryTables/queryTable292.xml"/><Relationship Id="rId28" Type="http://schemas.openxmlformats.org/officeDocument/2006/relationships/queryTable" Target="../queryTables/queryTable297.xml"/><Relationship Id="rId49" Type="http://schemas.openxmlformats.org/officeDocument/2006/relationships/queryTable" Target="../queryTables/queryTable318.xml"/><Relationship Id="rId114" Type="http://schemas.openxmlformats.org/officeDocument/2006/relationships/queryTable" Target="../queryTables/queryTable383.xml"/><Relationship Id="rId119" Type="http://schemas.openxmlformats.org/officeDocument/2006/relationships/queryTable" Target="../queryTables/queryTable388.xml"/><Relationship Id="rId44" Type="http://schemas.openxmlformats.org/officeDocument/2006/relationships/queryTable" Target="../queryTables/queryTable313.xml"/><Relationship Id="rId60" Type="http://schemas.openxmlformats.org/officeDocument/2006/relationships/queryTable" Target="../queryTables/queryTable329.xml"/><Relationship Id="rId65" Type="http://schemas.openxmlformats.org/officeDocument/2006/relationships/queryTable" Target="../queryTables/queryTable334.xml"/><Relationship Id="rId81" Type="http://schemas.openxmlformats.org/officeDocument/2006/relationships/queryTable" Target="../queryTables/queryTable350.xml"/><Relationship Id="rId86" Type="http://schemas.openxmlformats.org/officeDocument/2006/relationships/queryTable" Target="../queryTables/queryTable355.xml"/><Relationship Id="rId130" Type="http://schemas.openxmlformats.org/officeDocument/2006/relationships/queryTable" Target="../queryTables/queryTable399.xml"/><Relationship Id="rId135" Type="http://schemas.openxmlformats.org/officeDocument/2006/relationships/queryTable" Target="../queryTables/queryTable404.xml"/><Relationship Id="rId13" Type="http://schemas.openxmlformats.org/officeDocument/2006/relationships/queryTable" Target="../queryTables/queryTable282.xml"/><Relationship Id="rId18" Type="http://schemas.openxmlformats.org/officeDocument/2006/relationships/queryTable" Target="../queryTables/queryTable287.xml"/><Relationship Id="rId39" Type="http://schemas.openxmlformats.org/officeDocument/2006/relationships/queryTable" Target="../queryTables/queryTable308.xml"/><Relationship Id="rId109" Type="http://schemas.openxmlformats.org/officeDocument/2006/relationships/queryTable" Target="../queryTables/queryTable378.xml"/><Relationship Id="rId34" Type="http://schemas.openxmlformats.org/officeDocument/2006/relationships/queryTable" Target="../queryTables/queryTable303.xml"/><Relationship Id="rId50" Type="http://schemas.openxmlformats.org/officeDocument/2006/relationships/queryTable" Target="../queryTables/queryTable319.xml"/><Relationship Id="rId55" Type="http://schemas.openxmlformats.org/officeDocument/2006/relationships/queryTable" Target="../queryTables/queryTable324.xml"/><Relationship Id="rId76" Type="http://schemas.openxmlformats.org/officeDocument/2006/relationships/queryTable" Target="../queryTables/queryTable345.xml"/><Relationship Id="rId97" Type="http://schemas.openxmlformats.org/officeDocument/2006/relationships/queryTable" Target="../queryTables/queryTable366.xml"/><Relationship Id="rId104" Type="http://schemas.openxmlformats.org/officeDocument/2006/relationships/queryTable" Target="../queryTables/queryTable373.xml"/><Relationship Id="rId120" Type="http://schemas.openxmlformats.org/officeDocument/2006/relationships/queryTable" Target="../queryTables/queryTable389.xml"/><Relationship Id="rId125" Type="http://schemas.openxmlformats.org/officeDocument/2006/relationships/queryTable" Target="../queryTables/queryTable394.xml"/><Relationship Id="rId141" Type="http://schemas.openxmlformats.org/officeDocument/2006/relationships/queryTable" Target="../queryTables/queryTable410.xml"/><Relationship Id="rId7" Type="http://schemas.openxmlformats.org/officeDocument/2006/relationships/queryTable" Target="../queryTables/queryTable276.xml"/><Relationship Id="rId71" Type="http://schemas.openxmlformats.org/officeDocument/2006/relationships/queryTable" Target="../queryTables/queryTable340.xml"/><Relationship Id="rId92" Type="http://schemas.openxmlformats.org/officeDocument/2006/relationships/queryTable" Target="../queryTables/queryTable361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298.xml"/><Relationship Id="rId24" Type="http://schemas.openxmlformats.org/officeDocument/2006/relationships/queryTable" Target="../queryTables/queryTable293.xml"/><Relationship Id="rId40" Type="http://schemas.openxmlformats.org/officeDocument/2006/relationships/queryTable" Target="../queryTables/queryTable309.xml"/><Relationship Id="rId45" Type="http://schemas.openxmlformats.org/officeDocument/2006/relationships/queryTable" Target="../queryTables/queryTable314.xml"/><Relationship Id="rId66" Type="http://schemas.openxmlformats.org/officeDocument/2006/relationships/queryTable" Target="../queryTables/queryTable335.xml"/><Relationship Id="rId87" Type="http://schemas.openxmlformats.org/officeDocument/2006/relationships/queryTable" Target="../queryTables/queryTable356.xml"/><Relationship Id="rId110" Type="http://schemas.openxmlformats.org/officeDocument/2006/relationships/queryTable" Target="../queryTables/queryTable379.xml"/><Relationship Id="rId115" Type="http://schemas.openxmlformats.org/officeDocument/2006/relationships/queryTable" Target="../queryTables/queryTable384.xml"/><Relationship Id="rId131" Type="http://schemas.openxmlformats.org/officeDocument/2006/relationships/queryTable" Target="../queryTables/queryTable400.xml"/><Relationship Id="rId136" Type="http://schemas.openxmlformats.org/officeDocument/2006/relationships/queryTable" Target="../queryTables/queryTable405.xml"/><Relationship Id="rId61" Type="http://schemas.openxmlformats.org/officeDocument/2006/relationships/queryTable" Target="../queryTables/queryTable330.xml"/><Relationship Id="rId82" Type="http://schemas.openxmlformats.org/officeDocument/2006/relationships/queryTable" Target="../queryTables/queryTable351.xml"/><Relationship Id="rId19" Type="http://schemas.openxmlformats.org/officeDocument/2006/relationships/queryTable" Target="../queryTables/queryTable288.xml"/><Relationship Id="rId14" Type="http://schemas.openxmlformats.org/officeDocument/2006/relationships/queryTable" Target="../queryTables/queryTable283.xml"/><Relationship Id="rId30" Type="http://schemas.openxmlformats.org/officeDocument/2006/relationships/queryTable" Target="../queryTables/queryTable299.xml"/><Relationship Id="rId35" Type="http://schemas.openxmlformats.org/officeDocument/2006/relationships/queryTable" Target="../queryTables/queryTable304.xml"/><Relationship Id="rId56" Type="http://schemas.openxmlformats.org/officeDocument/2006/relationships/queryTable" Target="../queryTables/queryTable325.xml"/><Relationship Id="rId77" Type="http://schemas.openxmlformats.org/officeDocument/2006/relationships/queryTable" Target="../queryTables/queryTable346.xml"/><Relationship Id="rId100" Type="http://schemas.openxmlformats.org/officeDocument/2006/relationships/queryTable" Target="../queryTables/queryTable369.xml"/><Relationship Id="rId105" Type="http://schemas.openxmlformats.org/officeDocument/2006/relationships/queryTable" Target="../queryTables/queryTable374.xml"/><Relationship Id="rId126" Type="http://schemas.openxmlformats.org/officeDocument/2006/relationships/queryTable" Target="../queryTables/queryTable395.xml"/><Relationship Id="rId8" Type="http://schemas.openxmlformats.org/officeDocument/2006/relationships/queryTable" Target="../queryTables/queryTable277.xml"/><Relationship Id="rId51" Type="http://schemas.openxmlformats.org/officeDocument/2006/relationships/queryTable" Target="../queryTables/queryTable320.xml"/><Relationship Id="rId72" Type="http://schemas.openxmlformats.org/officeDocument/2006/relationships/queryTable" Target="../queryTables/queryTable341.xml"/><Relationship Id="rId93" Type="http://schemas.openxmlformats.org/officeDocument/2006/relationships/queryTable" Target="../queryTables/queryTable362.xml"/><Relationship Id="rId98" Type="http://schemas.openxmlformats.org/officeDocument/2006/relationships/queryTable" Target="../queryTables/queryTable367.xml"/><Relationship Id="rId121" Type="http://schemas.openxmlformats.org/officeDocument/2006/relationships/queryTable" Target="../queryTables/queryTable390.xml"/><Relationship Id="rId142" Type="http://schemas.openxmlformats.org/officeDocument/2006/relationships/queryTable" Target="../queryTables/queryTable411.xml"/><Relationship Id="rId3" Type="http://schemas.openxmlformats.org/officeDocument/2006/relationships/vmlDrawing" Target="../drawings/vmlDrawing3.vml"/><Relationship Id="rId25" Type="http://schemas.openxmlformats.org/officeDocument/2006/relationships/queryTable" Target="../queryTables/queryTable294.xml"/><Relationship Id="rId46" Type="http://schemas.openxmlformats.org/officeDocument/2006/relationships/queryTable" Target="../queryTables/queryTable315.xml"/><Relationship Id="rId67" Type="http://schemas.openxmlformats.org/officeDocument/2006/relationships/queryTable" Target="../queryTables/queryTable336.xml"/><Relationship Id="rId116" Type="http://schemas.openxmlformats.org/officeDocument/2006/relationships/queryTable" Target="../queryTables/queryTable385.xml"/><Relationship Id="rId137" Type="http://schemas.openxmlformats.org/officeDocument/2006/relationships/queryTable" Target="../queryTables/queryTable406.xml"/><Relationship Id="rId20" Type="http://schemas.openxmlformats.org/officeDocument/2006/relationships/queryTable" Target="../queryTables/queryTable289.xml"/><Relationship Id="rId41" Type="http://schemas.openxmlformats.org/officeDocument/2006/relationships/queryTable" Target="../queryTables/queryTable310.xml"/><Relationship Id="rId62" Type="http://schemas.openxmlformats.org/officeDocument/2006/relationships/queryTable" Target="../queryTables/queryTable331.xml"/><Relationship Id="rId83" Type="http://schemas.openxmlformats.org/officeDocument/2006/relationships/queryTable" Target="../queryTables/queryTable352.xml"/><Relationship Id="rId88" Type="http://schemas.openxmlformats.org/officeDocument/2006/relationships/queryTable" Target="../queryTables/queryTable357.xml"/><Relationship Id="rId111" Type="http://schemas.openxmlformats.org/officeDocument/2006/relationships/queryTable" Target="../queryTables/queryTable380.xml"/><Relationship Id="rId132" Type="http://schemas.openxmlformats.org/officeDocument/2006/relationships/queryTable" Target="../queryTables/queryTable401.xml"/><Relationship Id="rId15" Type="http://schemas.openxmlformats.org/officeDocument/2006/relationships/queryTable" Target="../queryTables/queryTable284.xml"/><Relationship Id="rId36" Type="http://schemas.openxmlformats.org/officeDocument/2006/relationships/queryTable" Target="../queryTables/queryTable305.xml"/><Relationship Id="rId57" Type="http://schemas.openxmlformats.org/officeDocument/2006/relationships/queryTable" Target="../queryTables/queryTable326.xml"/><Relationship Id="rId106" Type="http://schemas.openxmlformats.org/officeDocument/2006/relationships/queryTable" Target="../queryTables/queryTable375.xml"/><Relationship Id="rId127" Type="http://schemas.openxmlformats.org/officeDocument/2006/relationships/queryTable" Target="../queryTables/queryTable396.xml"/><Relationship Id="rId10" Type="http://schemas.openxmlformats.org/officeDocument/2006/relationships/queryTable" Target="../queryTables/queryTable279.xml"/><Relationship Id="rId31" Type="http://schemas.openxmlformats.org/officeDocument/2006/relationships/queryTable" Target="../queryTables/queryTable300.xml"/><Relationship Id="rId52" Type="http://schemas.openxmlformats.org/officeDocument/2006/relationships/queryTable" Target="../queryTables/queryTable321.xml"/><Relationship Id="rId73" Type="http://schemas.openxmlformats.org/officeDocument/2006/relationships/queryTable" Target="../queryTables/queryTable342.xml"/><Relationship Id="rId78" Type="http://schemas.openxmlformats.org/officeDocument/2006/relationships/queryTable" Target="../queryTables/queryTable347.xml"/><Relationship Id="rId94" Type="http://schemas.openxmlformats.org/officeDocument/2006/relationships/queryTable" Target="../queryTables/queryTable363.xml"/><Relationship Id="rId99" Type="http://schemas.openxmlformats.org/officeDocument/2006/relationships/queryTable" Target="../queryTables/queryTable368.xml"/><Relationship Id="rId101" Type="http://schemas.openxmlformats.org/officeDocument/2006/relationships/queryTable" Target="../queryTables/queryTable370.xml"/><Relationship Id="rId122" Type="http://schemas.openxmlformats.org/officeDocument/2006/relationships/queryTable" Target="../queryTables/queryTable391.xml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278.xml"/><Relationship Id="rId26" Type="http://schemas.openxmlformats.org/officeDocument/2006/relationships/queryTable" Target="../queryTables/queryTable295.xml"/><Relationship Id="rId47" Type="http://schemas.openxmlformats.org/officeDocument/2006/relationships/queryTable" Target="../queryTables/queryTable316.xml"/><Relationship Id="rId68" Type="http://schemas.openxmlformats.org/officeDocument/2006/relationships/queryTable" Target="../queryTables/queryTable337.xml"/><Relationship Id="rId89" Type="http://schemas.openxmlformats.org/officeDocument/2006/relationships/queryTable" Target="../queryTables/queryTable358.xml"/><Relationship Id="rId112" Type="http://schemas.openxmlformats.org/officeDocument/2006/relationships/queryTable" Target="../queryTables/queryTable381.xml"/><Relationship Id="rId133" Type="http://schemas.openxmlformats.org/officeDocument/2006/relationships/queryTable" Target="../queryTables/queryTable402.xml"/><Relationship Id="rId16" Type="http://schemas.openxmlformats.org/officeDocument/2006/relationships/queryTable" Target="../queryTables/queryTable28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523.xml"/><Relationship Id="rId21" Type="http://schemas.openxmlformats.org/officeDocument/2006/relationships/queryTable" Target="../queryTables/queryTable427.xml"/><Relationship Id="rId42" Type="http://schemas.openxmlformats.org/officeDocument/2006/relationships/queryTable" Target="../queryTables/queryTable448.xml"/><Relationship Id="rId63" Type="http://schemas.openxmlformats.org/officeDocument/2006/relationships/queryTable" Target="../queryTables/queryTable469.xml"/><Relationship Id="rId84" Type="http://schemas.openxmlformats.org/officeDocument/2006/relationships/queryTable" Target="../queryTables/queryTable490.xml"/><Relationship Id="rId138" Type="http://schemas.openxmlformats.org/officeDocument/2006/relationships/queryTable" Target="../queryTables/queryTable544.xml"/><Relationship Id="rId107" Type="http://schemas.openxmlformats.org/officeDocument/2006/relationships/queryTable" Target="../queryTables/queryTable513.xml"/><Relationship Id="rId11" Type="http://schemas.openxmlformats.org/officeDocument/2006/relationships/queryTable" Target="../queryTables/queryTable417.xml"/><Relationship Id="rId32" Type="http://schemas.openxmlformats.org/officeDocument/2006/relationships/queryTable" Target="../queryTables/queryTable438.xml"/><Relationship Id="rId37" Type="http://schemas.openxmlformats.org/officeDocument/2006/relationships/queryTable" Target="../queryTables/queryTable443.xml"/><Relationship Id="rId53" Type="http://schemas.openxmlformats.org/officeDocument/2006/relationships/queryTable" Target="../queryTables/queryTable459.xml"/><Relationship Id="rId58" Type="http://schemas.openxmlformats.org/officeDocument/2006/relationships/queryTable" Target="../queryTables/queryTable464.xml"/><Relationship Id="rId74" Type="http://schemas.openxmlformats.org/officeDocument/2006/relationships/queryTable" Target="../queryTables/queryTable480.xml"/><Relationship Id="rId79" Type="http://schemas.openxmlformats.org/officeDocument/2006/relationships/queryTable" Target="../queryTables/queryTable485.xml"/><Relationship Id="rId102" Type="http://schemas.openxmlformats.org/officeDocument/2006/relationships/queryTable" Target="../queryTables/queryTable508.xml"/><Relationship Id="rId123" Type="http://schemas.openxmlformats.org/officeDocument/2006/relationships/queryTable" Target="../queryTables/queryTable529.xml"/><Relationship Id="rId128" Type="http://schemas.openxmlformats.org/officeDocument/2006/relationships/queryTable" Target="../queryTables/queryTable534.xml"/><Relationship Id="rId144" Type="http://schemas.openxmlformats.org/officeDocument/2006/relationships/queryTable" Target="../queryTables/queryTable550.xml"/><Relationship Id="rId5" Type="http://schemas.openxmlformats.org/officeDocument/2006/relationships/image" Target="../media/image4.emf"/><Relationship Id="rId90" Type="http://schemas.openxmlformats.org/officeDocument/2006/relationships/queryTable" Target="../queryTables/queryTable496.xml"/><Relationship Id="rId95" Type="http://schemas.openxmlformats.org/officeDocument/2006/relationships/queryTable" Target="../queryTables/queryTable501.xml"/><Relationship Id="rId22" Type="http://schemas.openxmlformats.org/officeDocument/2006/relationships/queryTable" Target="../queryTables/queryTable428.xml"/><Relationship Id="rId27" Type="http://schemas.openxmlformats.org/officeDocument/2006/relationships/queryTable" Target="../queryTables/queryTable433.xml"/><Relationship Id="rId43" Type="http://schemas.openxmlformats.org/officeDocument/2006/relationships/queryTable" Target="../queryTables/queryTable449.xml"/><Relationship Id="rId48" Type="http://schemas.openxmlformats.org/officeDocument/2006/relationships/queryTable" Target="../queryTables/queryTable454.xml"/><Relationship Id="rId64" Type="http://schemas.openxmlformats.org/officeDocument/2006/relationships/queryTable" Target="../queryTables/queryTable470.xml"/><Relationship Id="rId69" Type="http://schemas.openxmlformats.org/officeDocument/2006/relationships/queryTable" Target="../queryTables/queryTable475.xml"/><Relationship Id="rId113" Type="http://schemas.openxmlformats.org/officeDocument/2006/relationships/queryTable" Target="../queryTables/queryTable519.xml"/><Relationship Id="rId118" Type="http://schemas.openxmlformats.org/officeDocument/2006/relationships/queryTable" Target="../queryTables/queryTable524.xml"/><Relationship Id="rId134" Type="http://schemas.openxmlformats.org/officeDocument/2006/relationships/queryTable" Target="../queryTables/queryTable540.xml"/><Relationship Id="rId139" Type="http://schemas.openxmlformats.org/officeDocument/2006/relationships/queryTable" Target="../queryTables/queryTable545.xml"/><Relationship Id="rId80" Type="http://schemas.openxmlformats.org/officeDocument/2006/relationships/queryTable" Target="../queryTables/queryTable486.xml"/><Relationship Id="rId85" Type="http://schemas.openxmlformats.org/officeDocument/2006/relationships/queryTable" Target="../queryTables/queryTable491.xml"/><Relationship Id="rId12" Type="http://schemas.openxmlformats.org/officeDocument/2006/relationships/queryTable" Target="../queryTables/queryTable418.xml"/><Relationship Id="rId17" Type="http://schemas.openxmlformats.org/officeDocument/2006/relationships/queryTable" Target="../queryTables/queryTable423.xml"/><Relationship Id="rId33" Type="http://schemas.openxmlformats.org/officeDocument/2006/relationships/queryTable" Target="../queryTables/queryTable439.xml"/><Relationship Id="rId38" Type="http://schemas.openxmlformats.org/officeDocument/2006/relationships/queryTable" Target="../queryTables/queryTable444.xml"/><Relationship Id="rId59" Type="http://schemas.openxmlformats.org/officeDocument/2006/relationships/queryTable" Target="../queryTables/queryTable465.xml"/><Relationship Id="rId103" Type="http://schemas.openxmlformats.org/officeDocument/2006/relationships/queryTable" Target="../queryTables/queryTable509.xml"/><Relationship Id="rId108" Type="http://schemas.openxmlformats.org/officeDocument/2006/relationships/queryTable" Target="../queryTables/queryTable514.xml"/><Relationship Id="rId124" Type="http://schemas.openxmlformats.org/officeDocument/2006/relationships/queryTable" Target="../queryTables/queryTable530.xml"/><Relationship Id="rId129" Type="http://schemas.openxmlformats.org/officeDocument/2006/relationships/queryTable" Target="../queryTables/queryTable535.xml"/><Relationship Id="rId54" Type="http://schemas.openxmlformats.org/officeDocument/2006/relationships/queryTable" Target="../queryTables/queryTable460.xml"/><Relationship Id="rId70" Type="http://schemas.openxmlformats.org/officeDocument/2006/relationships/queryTable" Target="../queryTables/queryTable476.xml"/><Relationship Id="rId75" Type="http://schemas.openxmlformats.org/officeDocument/2006/relationships/queryTable" Target="../queryTables/queryTable481.xml"/><Relationship Id="rId91" Type="http://schemas.openxmlformats.org/officeDocument/2006/relationships/queryTable" Target="../queryTables/queryTable497.xml"/><Relationship Id="rId96" Type="http://schemas.openxmlformats.org/officeDocument/2006/relationships/queryTable" Target="../queryTables/queryTable502.xml"/><Relationship Id="rId140" Type="http://schemas.openxmlformats.org/officeDocument/2006/relationships/queryTable" Target="../queryTables/queryTable54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412.xml"/><Relationship Id="rId23" Type="http://schemas.openxmlformats.org/officeDocument/2006/relationships/queryTable" Target="../queryTables/queryTable429.xml"/><Relationship Id="rId28" Type="http://schemas.openxmlformats.org/officeDocument/2006/relationships/queryTable" Target="../queryTables/queryTable434.xml"/><Relationship Id="rId49" Type="http://schemas.openxmlformats.org/officeDocument/2006/relationships/queryTable" Target="../queryTables/queryTable455.xml"/><Relationship Id="rId114" Type="http://schemas.openxmlformats.org/officeDocument/2006/relationships/queryTable" Target="../queryTables/queryTable520.xml"/><Relationship Id="rId119" Type="http://schemas.openxmlformats.org/officeDocument/2006/relationships/queryTable" Target="../queryTables/queryTable525.xml"/><Relationship Id="rId44" Type="http://schemas.openxmlformats.org/officeDocument/2006/relationships/queryTable" Target="../queryTables/queryTable450.xml"/><Relationship Id="rId60" Type="http://schemas.openxmlformats.org/officeDocument/2006/relationships/queryTable" Target="../queryTables/queryTable466.xml"/><Relationship Id="rId65" Type="http://schemas.openxmlformats.org/officeDocument/2006/relationships/queryTable" Target="../queryTables/queryTable471.xml"/><Relationship Id="rId81" Type="http://schemas.openxmlformats.org/officeDocument/2006/relationships/queryTable" Target="../queryTables/queryTable487.xml"/><Relationship Id="rId86" Type="http://schemas.openxmlformats.org/officeDocument/2006/relationships/queryTable" Target="../queryTables/queryTable492.xml"/><Relationship Id="rId130" Type="http://schemas.openxmlformats.org/officeDocument/2006/relationships/queryTable" Target="../queryTables/queryTable536.xml"/><Relationship Id="rId135" Type="http://schemas.openxmlformats.org/officeDocument/2006/relationships/queryTable" Target="../queryTables/queryTable541.xml"/><Relationship Id="rId13" Type="http://schemas.openxmlformats.org/officeDocument/2006/relationships/queryTable" Target="../queryTables/queryTable419.xml"/><Relationship Id="rId18" Type="http://schemas.openxmlformats.org/officeDocument/2006/relationships/queryTable" Target="../queryTables/queryTable424.xml"/><Relationship Id="rId39" Type="http://schemas.openxmlformats.org/officeDocument/2006/relationships/queryTable" Target="../queryTables/queryTable445.xml"/><Relationship Id="rId109" Type="http://schemas.openxmlformats.org/officeDocument/2006/relationships/queryTable" Target="../queryTables/queryTable515.xml"/><Relationship Id="rId34" Type="http://schemas.openxmlformats.org/officeDocument/2006/relationships/queryTable" Target="../queryTables/queryTable440.xml"/><Relationship Id="rId50" Type="http://schemas.openxmlformats.org/officeDocument/2006/relationships/queryTable" Target="../queryTables/queryTable456.xml"/><Relationship Id="rId55" Type="http://schemas.openxmlformats.org/officeDocument/2006/relationships/queryTable" Target="../queryTables/queryTable461.xml"/><Relationship Id="rId76" Type="http://schemas.openxmlformats.org/officeDocument/2006/relationships/queryTable" Target="../queryTables/queryTable482.xml"/><Relationship Id="rId97" Type="http://schemas.openxmlformats.org/officeDocument/2006/relationships/queryTable" Target="../queryTables/queryTable503.xml"/><Relationship Id="rId104" Type="http://schemas.openxmlformats.org/officeDocument/2006/relationships/queryTable" Target="../queryTables/queryTable510.xml"/><Relationship Id="rId120" Type="http://schemas.openxmlformats.org/officeDocument/2006/relationships/queryTable" Target="../queryTables/queryTable526.xml"/><Relationship Id="rId125" Type="http://schemas.openxmlformats.org/officeDocument/2006/relationships/queryTable" Target="../queryTables/queryTable531.xml"/><Relationship Id="rId141" Type="http://schemas.openxmlformats.org/officeDocument/2006/relationships/queryTable" Target="../queryTables/queryTable547.xml"/><Relationship Id="rId7" Type="http://schemas.openxmlformats.org/officeDocument/2006/relationships/queryTable" Target="../queryTables/queryTable413.xml"/><Relationship Id="rId71" Type="http://schemas.openxmlformats.org/officeDocument/2006/relationships/queryTable" Target="../queryTables/queryTable477.xml"/><Relationship Id="rId92" Type="http://schemas.openxmlformats.org/officeDocument/2006/relationships/queryTable" Target="../queryTables/queryTable498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435.xml"/><Relationship Id="rId24" Type="http://schemas.openxmlformats.org/officeDocument/2006/relationships/queryTable" Target="../queryTables/queryTable430.xml"/><Relationship Id="rId40" Type="http://schemas.openxmlformats.org/officeDocument/2006/relationships/queryTable" Target="../queryTables/queryTable446.xml"/><Relationship Id="rId45" Type="http://schemas.openxmlformats.org/officeDocument/2006/relationships/queryTable" Target="../queryTables/queryTable451.xml"/><Relationship Id="rId66" Type="http://schemas.openxmlformats.org/officeDocument/2006/relationships/queryTable" Target="../queryTables/queryTable472.xml"/><Relationship Id="rId87" Type="http://schemas.openxmlformats.org/officeDocument/2006/relationships/queryTable" Target="../queryTables/queryTable493.xml"/><Relationship Id="rId110" Type="http://schemas.openxmlformats.org/officeDocument/2006/relationships/queryTable" Target="../queryTables/queryTable516.xml"/><Relationship Id="rId115" Type="http://schemas.openxmlformats.org/officeDocument/2006/relationships/queryTable" Target="../queryTables/queryTable521.xml"/><Relationship Id="rId131" Type="http://schemas.openxmlformats.org/officeDocument/2006/relationships/queryTable" Target="../queryTables/queryTable537.xml"/><Relationship Id="rId136" Type="http://schemas.openxmlformats.org/officeDocument/2006/relationships/queryTable" Target="../queryTables/queryTable542.xml"/><Relationship Id="rId61" Type="http://schemas.openxmlformats.org/officeDocument/2006/relationships/queryTable" Target="../queryTables/queryTable467.xml"/><Relationship Id="rId82" Type="http://schemas.openxmlformats.org/officeDocument/2006/relationships/queryTable" Target="../queryTables/queryTable488.xml"/><Relationship Id="rId19" Type="http://schemas.openxmlformats.org/officeDocument/2006/relationships/queryTable" Target="../queryTables/queryTable425.xml"/><Relationship Id="rId14" Type="http://schemas.openxmlformats.org/officeDocument/2006/relationships/queryTable" Target="../queryTables/queryTable420.xml"/><Relationship Id="rId30" Type="http://schemas.openxmlformats.org/officeDocument/2006/relationships/queryTable" Target="../queryTables/queryTable436.xml"/><Relationship Id="rId35" Type="http://schemas.openxmlformats.org/officeDocument/2006/relationships/queryTable" Target="../queryTables/queryTable441.xml"/><Relationship Id="rId56" Type="http://schemas.openxmlformats.org/officeDocument/2006/relationships/queryTable" Target="../queryTables/queryTable462.xml"/><Relationship Id="rId77" Type="http://schemas.openxmlformats.org/officeDocument/2006/relationships/queryTable" Target="../queryTables/queryTable483.xml"/><Relationship Id="rId100" Type="http://schemas.openxmlformats.org/officeDocument/2006/relationships/queryTable" Target="../queryTables/queryTable506.xml"/><Relationship Id="rId105" Type="http://schemas.openxmlformats.org/officeDocument/2006/relationships/queryTable" Target="../queryTables/queryTable511.xml"/><Relationship Id="rId126" Type="http://schemas.openxmlformats.org/officeDocument/2006/relationships/queryTable" Target="../queryTables/queryTable532.xml"/><Relationship Id="rId8" Type="http://schemas.openxmlformats.org/officeDocument/2006/relationships/queryTable" Target="../queryTables/queryTable414.xml"/><Relationship Id="rId51" Type="http://schemas.openxmlformats.org/officeDocument/2006/relationships/queryTable" Target="../queryTables/queryTable457.xml"/><Relationship Id="rId72" Type="http://schemas.openxmlformats.org/officeDocument/2006/relationships/queryTable" Target="../queryTables/queryTable478.xml"/><Relationship Id="rId93" Type="http://schemas.openxmlformats.org/officeDocument/2006/relationships/queryTable" Target="../queryTables/queryTable499.xml"/><Relationship Id="rId98" Type="http://schemas.openxmlformats.org/officeDocument/2006/relationships/queryTable" Target="../queryTables/queryTable504.xml"/><Relationship Id="rId121" Type="http://schemas.openxmlformats.org/officeDocument/2006/relationships/queryTable" Target="../queryTables/queryTable527.xml"/><Relationship Id="rId142" Type="http://schemas.openxmlformats.org/officeDocument/2006/relationships/queryTable" Target="../queryTables/queryTable548.xml"/><Relationship Id="rId3" Type="http://schemas.openxmlformats.org/officeDocument/2006/relationships/vmlDrawing" Target="../drawings/vmlDrawing4.vml"/><Relationship Id="rId25" Type="http://schemas.openxmlformats.org/officeDocument/2006/relationships/queryTable" Target="../queryTables/queryTable431.xml"/><Relationship Id="rId46" Type="http://schemas.openxmlformats.org/officeDocument/2006/relationships/queryTable" Target="../queryTables/queryTable452.xml"/><Relationship Id="rId67" Type="http://schemas.openxmlformats.org/officeDocument/2006/relationships/queryTable" Target="../queryTables/queryTable473.xml"/><Relationship Id="rId116" Type="http://schemas.openxmlformats.org/officeDocument/2006/relationships/queryTable" Target="../queryTables/queryTable522.xml"/><Relationship Id="rId137" Type="http://schemas.openxmlformats.org/officeDocument/2006/relationships/queryTable" Target="../queryTables/queryTable543.xml"/><Relationship Id="rId20" Type="http://schemas.openxmlformats.org/officeDocument/2006/relationships/queryTable" Target="../queryTables/queryTable426.xml"/><Relationship Id="rId41" Type="http://schemas.openxmlformats.org/officeDocument/2006/relationships/queryTable" Target="../queryTables/queryTable447.xml"/><Relationship Id="rId62" Type="http://schemas.openxmlformats.org/officeDocument/2006/relationships/queryTable" Target="../queryTables/queryTable468.xml"/><Relationship Id="rId83" Type="http://schemas.openxmlformats.org/officeDocument/2006/relationships/queryTable" Target="../queryTables/queryTable489.xml"/><Relationship Id="rId88" Type="http://schemas.openxmlformats.org/officeDocument/2006/relationships/queryTable" Target="../queryTables/queryTable494.xml"/><Relationship Id="rId111" Type="http://schemas.openxmlformats.org/officeDocument/2006/relationships/queryTable" Target="../queryTables/queryTable517.xml"/><Relationship Id="rId132" Type="http://schemas.openxmlformats.org/officeDocument/2006/relationships/queryTable" Target="../queryTables/queryTable538.xml"/><Relationship Id="rId15" Type="http://schemas.openxmlformats.org/officeDocument/2006/relationships/queryTable" Target="../queryTables/queryTable421.xml"/><Relationship Id="rId36" Type="http://schemas.openxmlformats.org/officeDocument/2006/relationships/queryTable" Target="../queryTables/queryTable442.xml"/><Relationship Id="rId57" Type="http://schemas.openxmlformats.org/officeDocument/2006/relationships/queryTable" Target="../queryTables/queryTable463.xml"/><Relationship Id="rId106" Type="http://schemas.openxmlformats.org/officeDocument/2006/relationships/queryTable" Target="../queryTables/queryTable512.xml"/><Relationship Id="rId127" Type="http://schemas.openxmlformats.org/officeDocument/2006/relationships/queryTable" Target="../queryTables/queryTable533.xml"/><Relationship Id="rId10" Type="http://schemas.openxmlformats.org/officeDocument/2006/relationships/queryTable" Target="../queryTables/queryTable416.xml"/><Relationship Id="rId31" Type="http://schemas.openxmlformats.org/officeDocument/2006/relationships/queryTable" Target="../queryTables/queryTable437.xml"/><Relationship Id="rId52" Type="http://schemas.openxmlformats.org/officeDocument/2006/relationships/queryTable" Target="../queryTables/queryTable458.xml"/><Relationship Id="rId73" Type="http://schemas.openxmlformats.org/officeDocument/2006/relationships/queryTable" Target="../queryTables/queryTable479.xml"/><Relationship Id="rId78" Type="http://schemas.openxmlformats.org/officeDocument/2006/relationships/queryTable" Target="../queryTables/queryTable484.xml"/><Relationship Id="rId94" Type="http://schemas.openxmlformats.org/officeDocument/2006/relationships/queryTable" Target="../queryTables/queryTable500.xml"/><Relationship Id="rId99" Type="http://schemas.openxmlformats.org/officeDocument/2006/relationships/queryTable" Target="../queryTables/queryTable505.xml"/><Relationship Id="rId101" Type="http://schemas.openxmlformats.org/officeDocument/2006/relationships/queryTable" Target="../queryTables/queryTable507.xml"/><Relationship Id="rId122" Type="http://schemas.openxmlformats.org/officeDocument/2006/relationships/queryTable" Target="../queryTables/queryTable528.xml"/><Relationship Id="rId143" Type="http://schemas.openxmlformats.org/officeDocument/2006/relationships/queryTable" Target="../queryTables/queryTable549.xml"/><Relationship Id="rId4" Type="http://schemas.openxmlformats.org/officeDocument/2006/relationships/control" Target="../activeX/activeX4.xml"/><Relationship Id="rId9" Type="http://schemas.openxmlformats.org/officeDocument/2006/relationships/queryTable" Target="../queryTables/queryTable415.xml"/><Relationship Id="rId26" Type="http://schemas.openxmlformats.org/officeDocument/2006/relationships/queryTable" Target="../queryTables/queryTable432.xml"/><Relationship Id="rId47" Type="http://schemas.openxmlformats.org/officeDocument/2006/relationships/queryTable" Target="../queryTables/queryTable453.xml"/><Relationship Id="rId68" Type="http://schemas.openxmlformats.org/officeDocument/2006/relationships/queryTable" Target="../queryTables/queryTable474.xml"/><Relationship Id="rId89" Type="http://schemas.openxmlformats.org/officeDocument/2006/relationships/queryTable" Target="../queryTables/queryTable495.xml"/><Relationship Id="rId112" Type="http://schemas.openxmlformats.org/officeDocument/2006/relationships/queryTable" Target="../queryTables/queryTable518.xml"/><Relationship Id="rId133" Type="http://schemas.openxmlformats.org/officeDocument/2006/relationships/queryTable" Target="../queryTables/queryTable539.xml"/><Relationship Id="rId16" Type="http://schemas.openxmlformats.org/officeDocument/2006/relationships/queryTable" Target="../queryTables/queryTable422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62.xml"/><Relationship Id="rId21" Type="http://schemas.openxmlformats.org/officeDocument/2006/relationships/queryTable" Target="../queryTables/queryTable566.xml"/><Relationship Id="rId42" Type="http://schemas.openxmlformats.org/officeDocument/2006/relationships/queryTable" Target="../queryTables/queryTable587.xml"/><Relationship Id="rId63" Type="http://schemas.openxmlformats.org/officeDocument/2006/relationships/queryTable" Target="../queryTables/queryTable608.xml"/><Relationship Id="rId84" Type="http://schemas.openxmlformats.org/officeDocument/2006/relationships/queryTable" Target="../queryTables/queryTable629.xml"/><Relationship Id="rId138" Type="http://schemas.openxmlformats.org/officeDocument/2006/relationships/queryTable" Target="../queryTables/queryTable683.xml"/><Relationship Id="rId107" Type="http://schemas.openxmlformats.org/officeDocument/2006/relationships/queryTable" Target="../queryTables/queryTable652.xml"/><Relationship Id="rId11" Type="http://schemas.openxmlformats.org/officeDocument/2006/relationships/queryTable" Target="../queryTables/queryTable556.xml"/><Relationship Id="rId32" Type="http://schemas.openxmlformats.org/officeDocument/2006/relationships/queryTable" Target="../queryTables/queryTable577.xml"/><Relationship Id="rId53" Type="http://schemas.openxmlformats.org/officeDocument/2006/relationships/queryTable" Target="../queryTables/queryTable598.xml"/><Relationship Id="rId74" Type="http://schemas.openxmlformats.org/officeDocument/2006/relationships/queryTable" Target="../queryTables/queryTable619.xml"/><Relationship Id="rId128" Type="http://schemas.openxmlformats.org/officeDocument/2006/relationships/queryTable" Target="../queryTables/queryTable673.xml"/><Relationship Id="rId5" Type="http://schemas.openxmlformats.org/officeDocument/2006/relationships/image" Target="../media/image5.emf"/><Relationship Id="rId90" Type="http://schemas.openxmlformats.org/officeDocument/2006/relationships/queryTable" Target="../queryTables/queryTable635.xml"/><Relationship Id="rId95" Type="http://schemas.openxmlformats.org/officeDocument/2006/relationships/queryTable" Target="../queryTables/queryTable640.xml"/><Relationship Id="rId22" Type="http://schemas.openxmlformats.org/officeDocument/2006/relationships/queryTable" Target="../queryTables/queryTable567.xml"/><Relationship Id="rId27" Type="http://schemas.openxmlformats.org/officeDocument/2006/relationships/queryTable" Target="../queryTables/queryTable572.xml"/><Relationship Id="rId43" Type="http://schemas.openxmlformats.org/officeDocument/2006/relationships/queryTable" Target="../queryTables/queryTable588.xml"/><Relationship Id="rId48" Type="http://schemas.openxmlformats.org/officeDocument/2006/relationships/queryTable" Target="../queryTables/queryTable593.xml"/><Relationship Id="rId64" Type="http://schemas.openxmlformats.org/officeDocument/2006/relationships/queryTable" Target="../queryTables/queryTable609.xml"/><Relationship Id="rId69" Type="http://schemas.openxmlformats.org/officeDocument/2006/relationships/queryTable" Target="../queryTables/queryTable614.xml"/><Relationship Id="rId113" Type="http://schemas.openxmlformats.org/officeDocument/2006/relationships/queryTable" Target="../queryTables/queryTable658.xml"/><Relationship Id="rId118" Type="http://schemas.openxmlformats.org/officeDocument/2006/relationships/queryTable" Target="../queryTables/queryTable663.xml"/><Relationship Id="rId134" Type="http://schemas.openxmlformats.org/officeDocument/2006/relationships/queryTable" Target="../queryTables/queryTable679.xml"/><Relationship Id="rId139" Type="http://schemas.openxmlformats.org/officeDocument/2006/relationships/queryTable" Target="../queryTables/queryTable684.xml"/><Relationship Id="rId80" Type="http://schemas.openxmlformats.org/officeDocument/2006/relationships/queryTable" Target="../queryTables/queryTable625.xml"/><Relationship Id="rId85" Type="http://schemas.openxmlformats.org/officeDocument/2006/relationships/queryTable" Target="../queryTables/queryTable630.xml"/><Relationship Id="rId12" Type="http://schemas.openxmlformats.org/officeDocument/2006/relationships/queryTable" Target="../queryTables/queryTable557.xml"/><Relationship Id="rId17" Type="http://schemas.openxmlformats.org/officeDocument/2006/relationships/queryTable" Target="../queryTables/queryTable562.xml"/><Relationship Id="rId33" Type="http://schemas.openxmlformats.org/officeDocument/2006/relationships/queryTable" Target="../queryTables/queryTable578.xml"/><Relationship Id="rId38" Type="http://schemas.openxmlformats.org/officeDocument/2006/relationships/queryTable" Target="../queryTables/queryTable583.xml"/><Relationship Id="rId59" Type="http://schemas.openxmlformats.org/officeDocument/2006/relationships/queryTable" Target="../queryTables/queryTable604.xml"/><Relationship Id="rId103" Type="http://schemas.openxmlformats.org/officeDocument/2006/relationships/queryTable" Target="../queryTables/queryTable648.xml"/><Relationship Id="rId108" Type="http://schemas.openxmlformats.org/officeDocument/2006/relationships/queryTable" Target="../queryTables/queryTable653.xml"/><Relationship Id="rId124" Type="http://schemas.openxmlformats.org/officeDocument/2006/relationships/queryTable" Target="../queryTables/queryTable669.xml"/><Relationship Id="rId129" Type="http://schemas.openxmlformats.org/officeDocument/2006/relationships/queryTable" Target="../queryTables/queryTable674.xml"/><Relationship Id="rId54" Type="http://schemas.openxmlformats.org/officeDocument/2006/relationships/queryTable" Target="../queryTables/queryTable599.xml"/><Relationship Id="rId70" Type="http://schemas.openxmlformats.org/officeDocument/2006/relationships/queryTable" Target="../queryTables/queryTable615.xml"/><Relationship Id="rId75" Type="http://schemas.openxmlformats.org/officeDocument/2006/relationships/queryTable" Target="../queryTables/queryTable620.xml"/><Relationship Id="rId91" Type="http://schemas.openxmlformats.org/officeDocument/2006/relationships/queryTable" Target="../queryTables/queryTable636.xml"/><Relationship Id="rId96" Type="http://schemas.openxmlformats.org/officeDocument/2006/relationships/queryTable" Target="../queryTables/queryTable641.xml"/><Relationship Id="rId140" Type="http://schemas.openxmlformats.org/officeDocument/2006/relationships/queryTable" Target="../queryTables/queryTable685.xml"/><Relationship Id="rId145" Type="http://schemas.openxmlformats.org/officeDocument/2006/relationships/queryTable" Target="../queryTables/queryTable690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551.xml"/><Relationship Id="rId23" Type="http://schemas.openxmlformats.org/officeDocument/2006/relationships/queryTable" Target="../queryTables/queryTable568.xml"/><Relationship Id="rId28" Type="http://schemas.openxmlformats.org/officeDocument/2006/relationships/queryTable" Target="../queryTables/queryTable573.xml"/><Relationship Id="rId49" Type="http://schemas.openxmlformats.org/officeDocument/2006/relationships/queryTable" Target="../queryTables/queryTable594.xml"/><Relationship Id="rId114" Type="http://schemas.openxmlformats.org/officeDocument/2006/relationships/queryTable" Target="../queryTables/queryTable659.xml"/><Relationship Id="rId119" Type="http://schemas.openxmlformats.org/officeDocument/2006/relationships/queryTable" Target="../queryTables/queryTable664.xml"/><Relationship Id="rId44" Type="http://schemas.openxmlformats.org/officeDocument/2006/relationships/queryTable" Target="../queryTables/queryTable589.xml"/><Relationship Id="rId60" Type="http://schemas.openxmlformats.org/officeDocument/2006/relationships/queryTable" Target="../queryTables/queryTable605.xml"/><Relationship Id="rId65" Type="http://schemas.openxmlformats.org/officeDocument/2006/relationships/queryTable" Target="../queryTables/queryTable610.xml"/><Relationship Id="rId81" Type="http://schemas.openxmlformats.org/officeDocument/2006/relationships/queryTable" Target="../queryTables/queryTable626.xml"/><Relationship Id="rId86" Type="http://schemas.openxmlformats.org/officeDocument/2006/relationships/queryTable" Target="../queryTables/queryTable631.xml"/><Relationship Id="rId130" Type="http://schemas.openxmlformats.org/officeDocument/2006/relationships/queryTable" Target="../queryTables/queryTable675.xml"/><Relationship Id="rId135" Type="http://schemas.openxmlformats.org/officeDocument/2006/relationships/queryTable" Target="../queryTables/queryTable680.xml"/><Relationship Id="rId13" Type="http://schemas.openxmlformats.org/officeDocument/2006/relationships/queryTable" Target="../queryTables/queryTable558.xml"/><Relationship Id="rId18" Type="http://schemas.openxmlformats.org/officeDocument/2006/relationships/queryTable" Target="../queryTables/queryTable563.xml"/><Relationship Id="rId39" Type="http://schemas.openxmlformats.org/officeDocument/2006/relationships/queryTable" Target="../queryTables/queryTable584.xml"/><Relationship Id="rId109" Type="http://schemas.openxmlformats.org/officeDocument/2006/relationships/queryTable" Target="../queryTables/queryTable654.xml"/><Relationship Id="rId34" Type="http://schemas.openxmlformats.org/officeDocument/2006/relationships/queryTable" Target="../queryTables/queryTable579.xml"/><Relationship Id="rId50" Type="http://schemas.openxmlformats.org/officeDocument/2006/relationships/queryTable" Target="../queryTables/queryTable595.xml"/><Relationship Id="rId55" Type="http://schemas.openxmlformats.org/officeDocument/2006/relationships/queryTable" Target="../queryTables/queryTable600.xml"/><Relationship Id="rId76" Type="http://schemas.openxmlformats.org/officeDocument/2006/relationships/queryTable" Target="../queryTables/queryTable621.xml"/><Relationship Id="rId97" Type="http://schemas.openxmlformats.org/officeDocument/2006/relationships/queryTable" Target="../queryTables/queryTable642.xml"/><Relationship Id="rId104" Type="http://schemas.openxmlformats.org/officeDocument/2006/relationships/queryTable" Target="../queryTables/queryTable649.xml"/><Relationship Id="rId120" Type="http://schemas.openxmlformats.org/officeDocument/2006/relationships/queryTable" Target="../queryTables/queryTable665.xml"/><Relationship Id="rId125" Type="http://schemas.openxmlformats.org/officeDocument/2006/relationships/queryTable" Target="../queryTables/queryTable670.xml"/><Relationship Id="rId141" Type="http://schemas.openxmlformats.org/officeDocument/2006/relationships/queryTable" Target="../queryTables/queryTable686.xml"/><Relationship Id="rId146" Type="http://schemas.openxmlformats.org/officeDocument/2006/relationships/queryTable" Target="../queryTables/queryTable691.xml"/><Relationship Id="rId7" Type="http://schemas.openxmlformats.org/officeDocument/2006/relationships/queryTable" Target="../queryTables/queryTable552.xml"/><Relationship Id="rId71" Type="http://schemas.openxmlformats.org/officeDocument/2006/relationships/queryTable" Target="../queryTables/queryTable616.xml"/><Relationship Id="rId92" Type="http://schemas.openxmlformats.org/officeDocument/2006/relationships/queryTable" Target="../queryTables/queryTable637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574.xml"/><Relationship Id="rId24" Type="http://schemas.openxmlformats.org/officeDocument/2006/relationships/queryTable" Target="../queryTables/queryTable569.xml"/><Relationship Id="rId40" Type="http://schemas.openxmlformats.org/officeDocument/2006/relationships/queryTable" Target="../queryTables/queryTable585.xml"/><Relationship Id="rId45" Type="http://schemas.openxmlformats.org/officeDocument/2006/relationships/queryTable" Target="../queryTables/queryTable590.xml"/><Relationship Id="rId66" Type="http://schemas.openxmlformats.org/officeDocument/2006/relationships/queryTable" Target="../queryTables/queryTable611.xml"/><Relationship Id="rId87" Type="http://schemas.openxmlformats.org/officeDocument/2006/relationships/queryTable" Target="../queryTables/queryTable632.xml"/><Relationship Id="rId110" Type="http://schemas.openxmlformats.org/officeDocument/2006/relationships/queryTable" Target="../queryTables/queryTable655.xml"/><Relationship Id="rId115" Type="http://schemas.openxmlformats.org/officeDocument/2006/relationships/queryTable" Target="../queryTables/queryTable660.xml"/><Relationship Id="rId131" Type="http://schemas.openxmlformats.org/officeDocument/2006/relationships/queryTable" Target="../queryTables/queryTable676.xml"/><Relationship Id="rId136" Type="http://schemas.openxmlformats.org/officeDocument/2006/relationships/queryTable" Target="../queryTables/queryTable681.xml"/><Relationship Id="rId61" Type="http://schemas.openxmlformats.org/officeDocument/2006/relationships/queryTable" Target="../queryTables/queryTable606.xml"/><Relationship Id="rId82" Type="http://schemas.openxmlformats.org/officeDocument/2006/relationships/queryTable" Target="../queryTables/queryTable627.xml"/><Relationship Id="rId19" Type="http://schemas.openxmlformats.org/officeDocument/2006/relationships/queryTable" Target="../queryTables/queryTable564.xml"/><Relationship Id="rId14" Type="http://schemas.openxmlformats.org/officeDocument/2006/relationships/queryTable" Target="../queryTables/queryTable559.xml"/><Relationship Id="rId30" Type="http://schemas.openxmlformats.org/officeDocument/2006/relationships/queryTable" Target="../queryTables/queryTable575.xml"/><Relationship Id="rId35" Type="http://schemas.openxmlformats.org/officeDocument/2006/relationships/queryTable" Target="../queryTables/queryTable580.xml"/><Relationship Id="rId56" Type="http://schemas.openxmlformats.org/officeDocument/2006/relationships/queryTable" Target="../queryTables/queryTable601.xml"/><Relationship Id="rId77" Type="http://schemas.openxmlformats.org/officeDocument/2006/relationships/queryTable" Target="../queryTables/queryTable622.xml"/><Relationship Id="rId100" Type="http://schemas.openxmlformats.org/officeDocument/2006/relationships/queryTable" Target="../queryTables/queryTable645.xml"/><Relationship Id="rId105" Type="http://schemas.openxmlformats.org/officeDocument/2006/relationships/queryTable" Target="../queryTables/queryTable650.xml"/><Relationship Id="rId126" Type="http://schemas.openxmlformats.org/officeDocument/2006/relationships/queryTable" Target="../queryTables/queryTable671.xml"/><Relationship Id="rId8" Type="http://schemas.openxmlformats.org/officeDocument/2006/relationships/queryTable" Target="../queryTables/queryTable553.xml"/><Relationship Id="rId51" Type="http://schemas.openxmlformats.org/officeDocument/2006/relationships/queryTable" Target="../queryTables/queryTable596.xml"/><Relationship Id="rId72" Type="http://schemas.openxmlformats.org/officeDocument/2006/relationships/queryTable" Target="../queryTables/queryTable617.xml"/><Relationship Id="rId93" Type="http://schemas.openxmlformats.org/officeDocument/2006/relationships/queryTable" Target="../queryTables/queryTable638.xml"/><Relationship Id="rId98" Type="http://schemas.openxmlformats.org/officeDocument/2006/relationships/queryTable" Target="../queryTables/queryTable643.xml"/><Relationship Id="rId121" Type="http://schemas.openxmlformats.org/officeDocument/2006/relationships/queryTable" Target="../queryTables/queryTable666.xml"/><Relationship Id="rId142" Type="http://schemas.openxmlformats.org/officeDocument/2006/relationships/queryTable" Target="../queryTables/queryTable687.xml"/><Relationship Id="rId3" Type="http://schemas.openxmlformats.org/officeDocument/2006/relationships/vmlDrawing" Target="../drawings/vmlDrawing5.vml"/><Relationship Id="rId25" Type="http://schemas.openxmlformats.org/officeDocument/2006/relationships/queryTable" Target="../queryTables/queryTable570.xml"/><Relationship Id="rId46" Type="http://schemas.openxmlformats.org/officeDocument/2006/relationships/queryTable" Target="../queryTables/queryTable591.xml"/><Relationship Id="rId67" Type="http://schemas.openxmlformats.org/officeDocument/2006/relationships/queryTable" Target="../queryTables/queryTable612.xml"/><Relationship Id="rId116" Type="http://schemas.openxmlformats.org/officeDocument/2006/relationships/queryTable" Target="../queryTables/queryTable661.xml"/><Relationship Id="rId137" Type="http://schemas.openxmlformats.org/officeDocument/2006/relationships/queryTable" Target="../queryTables/queryTable682.xml"/><Relationship Id="rId20" Type="http://schemas.openxmlformats.org/officeDocument/2006/relationships/queryTable" Target="../queryTables/queryTable565.xml"/><Relationship Id="rId41" Type="http://schemas.openxmlformats.org/officeDocument/2006/relationships/queryTable" Target="../queryTables/queryTable586.xml"/><Relationship Id="rId62" Type="http://schemas.openxmlformats.org/officeDocument/2006/relationships/queryTable" Target="../queryTables/queryTable607.xml"/><Relationship Id="rId83" Type="http://schemas.openxmlformats.org/officeDocument/2006/relationships/queryTable" Target="../queryTables/queryTable628.xml"/><Relationship Id="rId88" Type="http://schemas.openxmlformats.org/officeDocument/2006/relationships/queryTable" Target="../queryTables/queryTable633.xml"/><Relationship Id="rId111" Type="http://schemas.openxmlformats.org/officeDocument/2006/relationships/queryTable" Target="../queryTables/queryTable656.xml"/><Relationship Id="rId132" Type="http://schemas.openxmlformats.org/officeDocument/2006/relationships/queryTable" Target="../queryTables/queryTable677.xml"/><Relationship Id="rId15" Type="http://schemas.openxmlformats.org/officeDocument/2006/relationships/queryTable" Target="../queryTables/queryTable560.xml"/><Relationship Id="rId36" Type="http://schemas.openxmlformats.org/officeDocument/2006/relationships/queryTable" Target="../queryTables/queryTable581.xml"/><Relationship Id="rId57" Type="http://schemas.openxmlformats.org/officeDocument/2006/relationships/queryTable" Target="../queryTables/queryTable602.xml"/><Relationship Id="rId106" Type="http://schemas.openxmlformats.org/officeDocument/2006/relationships/queryTable" Target="../queryTables/queryTable651.xml"/><Relationship Id="rId127" Type="http://schemas.openxmlformats.org/officeDocument/2006/relationships/queryTable" Target="../queryTables/queryTable672.xml"/><Relationship Id="rId10" Type="http://schemas.openxmlformats.org/officeDocument/2006/relationships/queryTable" Target="../queryTables/queryTable555.xml"/><Relationship Id="rId31" Type="http://schemas.openxmlformats.org/officeDocument/2006/relationships/queryTable" Target="../queryTables/queryTable576.xml"/><Relationship Id="rId52" Type="http://schemas.openxmlformats.org/officeDocument/2006/relationships/queryTable" Target="../queryTables/queryTable597.xml"/><Relationship Id="rId73" Type="http://schemas.openxmlformats.org/officeDocument/2006/relationships/queryTable" Target="../queryTables/queryTable618.xml"/><Relationship Id="rId78" Type="http://schemas.openxmlformats.org/officeDocument/2006/relationships/queryTable" Target="../queryTables/queryTable623.xml"/><Relationship Id="rId94" Type="http://schemas.openxmlformats.org/officeDocument/2006/relationships/queryTable" Target="../queryTables/queryTable639.xml"/><Relationship Id="rId99" Type="http://schemas.openxmlformats.org/officeDocument/2006/relationships/queryTable" Target="../queryTables/queryTable644.xml"/><Relationship Id="rId101" Type="http://schemas.openxmlformats.org/officeDocument/2006/relationships/queryTable" Target="../queryTables/queryTable646.xml"/><Relationship Id="rId122" Type="http://schemas.openxmlformats.org/officeDocument/2006/relationships/queryTable" Target="../queryTables/queryTable667.xml"/><Relationship Id="rId143" Type="http://schemas.openxmlformats.org/officeDocument/2006/relationships/queryTable" Target="../queryTables/queryTable688.xml"/><Relationship Id="rId4" Type="http://schemas.openxmlformats.org/officeDocument/2006/relationships/control" Target="../activeX/activeX5.xml"/><Relationship Id="rId9" Type="http://schemas.openxmlformats.org/officeDocument/2006/relationships/queryTable" Target="../queryTables/queryTable554.xml"/><Relationship Id="rId26" Type="http://schemas.openxmlformats.org/officeDocument/2006/relationships/queryTable" Target="../queryTables/queryTable571.xml"/><Relationship Id="rId47" Type="http://schemas.openxmlformats.org/officeDocument/2006/relationships/queryTable" Target="../queryTables/queryTable592.xml"/><Relationship Id="rId68" Type="http://schemas.openxmlformats.org/officeDocument/2006/relationships/queryTable" Target="../queryTables/queryTable613.xml"/><Relationship Id="rId89" Type="http://schemas.openxmlformats.org/officeDocument/2006/relationships/queryTable" Target="../queryTables/queryTable634.xml"/><Relationship Id="rId112" Type="http://schemas.openxmlformats.org/officeDocument/2006/relationships/queryTable" Target="../queryTables/queryTable657.xml"/><Relationship Id="rId133" Type="http://schemas.openxmlformats.org/officeDocument/2006/relationships/queryTable" Target="../queryTables/queryTable678.xml"/><Relationship Id="rId16" Type="http://schemas.openxmlformats.org/officeDocument/2006/relationships/queryTable" Target="../queryTables/queryTable561.xml"/><Relationship Id="rId37" Type="http://schemas.openxmlformats.org/officeDocument/2006/relationships/queryTable" Target="../queryTables/queryTable582.xml"/><Relationship Id="rId58" Type="http://schemas.openxmlformats.org/officeDocument/2006/relationships/queryTable" Target="../queryTables/queryTable603.xml"/><Relationship Id="rId79" Type="http://schemas.openxmlformats.org/officeDocument/2006/relationships/queryTable" Target="../queryTables/queryTable624.xml"/><Relationship Id="rId102" Type="http://schemas.openxmlformats.org/officeDocument/2006/relationships/queryTable" Target="../queryTables/queryTable647.xml"/><Relationship Id="rId123" Type="http://schemas.openxmlformats.org/officeDocument/2006/relationships/queryTable" Target="../queryTables/queryTable668.xml"/><Relationship Id="rId144" Type="http://schemas.openxmlformats.org/officeDocument/2006/relationships/queryTable" Target="../queryTables/queryTable689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03.xml"/><Relationship Id="rId21" Type="http://schemas.openxmlformats.org/officeDocument/2006/relationships/queryTable" Target="../queryTables/queryTable707.xml"/><Relationship Id="rId42" Type="http://schemas.openxmlformats.org/officeDocument/2006/relationships/queryTable" Target="../queryTables/queryTable728.xml"/><Relationship Id="rId63" Type="http://schemas.openxmlformats.org/officeDocument/2006/relationships/queryTable" Target="../queryTables/queryTable749.xml"/><Relationship Id="rId84" Type="http://schemas.openxmlformats.org/officeDocument/2006/relationships/queryTable" Target="../queryTables/queryTable770.xml"/><Relationship Id="rId138" Type="http://schemas.openxmlformats.org/officeDocument/2006/relationships/queryTable" Target="../queryTables/queryTable824.xml"/><Relationship Id="rId107" Type="http://schemas.openxmlformats.org/officeDocument/2006/relationships/queryTable" Target="../queryTables/queryTable793.xml"/><Relationship Id="rId11" Type="http://schemas.openxmlformats.org/officeDocument/2006/relationships/queryTable" Target="../queryTables/queryTable697.xml"/><Relationship Id="rId32" Type="http://schemas.openxmlformats.org/officeDocument/2006/relationships/queryTable" Target="../queryTables/queryTable718.xml"/><Relationship Id="rId53" Type="http://schemas.openxmlformats.org/officeDocument/2006/relationships/queryTable" Target="../queryTables/queryTable739.xml"/><Relationship Id="rId74" Type="http://schemas.openxmlformats.org/officeDocument/2006/relationships/queryTable" Target="../queryTables/queryTable760.xml"/><Relationship Id="rId128" Type="http://schemas.openxmlformats.org/officeDocument/2006/relationships/queryTable" Target="../queryTables/queryTable814.xml"/><Relationship Id="rId5" Type="http://schemas.openxmlformats.org/officeDocument/2006/relationships/image" Target="../media/image6.emf"/><Relationship Id="rId90" Type="http://schemas.openxmlformats.org/officeDocument/2006/relationships/queryTable" Target="../queryTables/queryTable776.xml"/><Relationship Id="rId95" Type="http://schemas.openxmlformats.org/officeDocument/2006/relationships/queryTable" Target="../queryTables/queryTable781.xml"/><Relationship Id="rId22" Type="http://schemas.openxmlformats.org/officeDocument/2006/relationships/queryTable" Target="../queryTables/queryTable708.xml"/><Relationship Id="rId27" Type="http://schemas.openxmlformats.org/officeDocument/2006/relationships/queryTable" Target="../queryTables/queryTable713.xml"/><Relationship Id="rId43" Type="http://schemas.openxmlformats.org/officeDocument/2006/relationships/queryTable" Target="../queryTables/queryTable729.xml"/><Relationship Id="rId48" Type="http://schemas.openxmlformats.org/officeDocument/2006/relationships/queryTable" Target="../queryTables/queryTable734.xml"/><Relationship Id="rId64" Type="http://schemas.openxmlformats.org/officeDocument/2006/relationships/queryTable" Target="../queryTables/queryTable750.xml"/><Relationship Id="rId69" Type="http://schemas.openxmlformats.org/officeDocument/2006/relationships/queryTable" Target="../queryTables/queryTable755.xml"/><Relationship Id="rId113" Type="http://schemas.openxmlformats.org/officeDocument/2006/relationships/queryTable" Target="../queryTables/queryTable799.xml"/><Relationship Id="rId118" Type="http://schemas.openxmlformats.org/officeDocument/2006/relationships/queryTable" Target="../queryTables/queryTable804.xml"/><Relationship Id="rId134" Type="http://schemas.openxmlformats.org/officeDocument/2006/relationships/queryTable" Target="../queryTables/queryTable820.xml"/><Relationship Id="rId139" Type="http://schemas.openxmlformats.org/officeDocument/2006/relationships/queryTable" Target="../queryTables/queryTable825.xml"/><Relationship Id="rId80" Type="http://schemas.openxmlformats.org/officeDocument/2006/relationships/queryTable" Target="../queryTables/queryTable766.xml"/><Relationship Id="rId85" Type="http://schemas.openxmlformats.org/officeDocument/2006/relationships/queryTable" Target="../queryTables/queryTable771.xml"/><Relationship Id="rId12" Type="http://schemas.openxmlformats.org/officeDocument/2006/relationships/queryTable" Target="../queryTables/queryTable698.xml"/><Relationship Id="rId17" Type="http://schemas.openxmlformats.org/officeDocument/2006/relationships/queryTable" Target="../queryTables/queryTable703.xml"/><Relationship Id="rId33" Type="http://schemas.openxmlformats.org/officeDocument/2006/relationships/queryTable" Target="../queryTables/queryTable719.xml"/><Relationship Id="rId38" Type="http://schemas.openxmlformats.org/officeDocument/2006/relationships/queryTable" Target="../queryTables/queryTable724.xml"/><Relationship Id="rId59" Type="http://schemas.openxmlformats.org/officeDocument/2006/relationships/queryTable" Target="../queryTables/queryTable745.xml"/><Relationship Id="rId103" Type="http://schemas.openxmlformats.org/officeDocument/2006/relationships/queryTable" Target="../queryTables/queryTable789.xml"/><Relationship Id="rId108" Type="http://schemas.openxmlformats.org/officeDocument/2006/relationships/queryTable" Target="../queryTables/queryTable794.xml"/><Relationship Id="rId124" Type="http://schemas.openxmlformats.org/officeDocument/2006/relationships/queryTable" Target="../queryTables/queryTable810.xml"/><Relationship Id="rId129" Type="http://schemas.openxmlformats.org/officeDocument/2006/relationships/queryTable" Target="../queryTables/queryTable815.xml"/><Relationship Id="rId54" Type="http://schemas.openxmlformats.org/officeDocument/2006/relationships/queryTable" Target="../queryTables/queryTable740.xml"/><Relationship Id="rId70" Type="http://schemas.openxmlformats.org/officeDocument/2006/relationships/queryTable" Target="../queryTables/queryTable756.xml"/><Relationship Id="rId75" Type="http://schemas.openxmlformats.org/officeDocument/2006/relationships/queryTable" Target="../queryTables/queryTable761.xml"/><Relationship Id="rId91" Type="http://schemas.openxmlformats.org/officeDocument/2006/relationships/queryTable" Target="../queryTables/queryTable777.xml"/><Relationship Id="rId96" Type="http://schemas.openxmlformats.org/officeDocument/2006/relationships/queryTable" Target="../queryTables/queryTable782.xml"/><Relationship Id="rId140" Type="http://schemas.openxmlformats.org/officeDocument/2006/relationships/queryTable" Target="../queryTables/queryTable826.xml"/><Relationship Id="rId145" Type="http://schemas.openxmlformats.org/officeDocument/2006/relationships/queryTable" Target="../queryTables/queryTable831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692.xml"/><Relationship Id="rId23" Type="http://schemas.openxmlformats.org/officeDocument/2006/relationships/queryTable" Target="../queryTables/queryTable709.xml"/><Relationship Id="rId28" Type="http://schemas.openxmlformats.org/officeDocument/2006/relationships/queryTable" Target="../queryTables/queryTable714.xml"/><Relationship Id="rId49" Type="http://schemas.openxmlformats.org/officeDocument/2006/relationships/queryTable" Target="../queryTables/queryTable735.xml"/><Relationship Id="rId114" Type="http://schemas.openxmlformats.org/officeDocument/2006/relationships/queryTable" Target="../queryTables/queryTable800.xml"/><Relationship Id="rId119" Type="http://schemas.openxmlformats.org/officeDocument/2006/relationships/queryTable" Target="../queryTables/queryTable805.xml"/><Relationship Id="rId44" Type="http://schemas.openxmlformats.org/officeDocument/2006/relationships/queryTable" Target="../queryTables/queryTable730.xml"/><Relationship Id="rId60" Type="http://schemas.openxmlformats.org/officeDocument/2006/relationships/queryTable" Target="../queryTables/queryTable746.xml"/><Relationship Id="rId65" Type="http://schemas.openxmlformats.org/officeDocument/2006/relationships/queryTable" Target="../queryTables/queryTable751.xml"/><Relationship Id="rId81" Type="http://schemas.openxmlformats.org/officeDocument/2006/relationships/queryTable" Target="../queryTables/queryTable767.xml"/><Relationship Id="rId86" Type="http://schemas.openxmlformats.org/officeDocument/2006/relationships/queryTable" Target="../queryTables/queryTable772.xml"/><Relationship Id="rId130" Type="http://schemas.openxmlformats.org/officeDocument/2006/relationships/queryTable" Target="../queryTables/queryTable816.xml"/><Relationship Id="rId135" Type="http://schemas.openxmlformats.org/officeDocument/2006/relationships/queryTable" Target="../queryTables/queryTable821.xml"/><Relationship Id="rId13" Type="http://schemas.openxmlformats.org/officeDocument/2006/relationships/queryTable" Target="../queryTables/queryTable699.xml"/><Relationship Id="rId18" Type="http://schemas.openxmlformats.org/officeDocument/2006/relationships/queryTable" Target="../queryTables/queryTable704.xml"/><Relationship Id="rId39" Type="http://schemas.openxmlformats.org/officeDocument/2006/relationships/queryTable" Target="../queryTables/queryTable725.xml"/><Relationship Id="rId109" Type="http://schemas.openxmlformats.org/officeDocument/2006/relationships/queryTable" Target="../queryTables/queryTable795.xml"/><Relationship Id="rId34" Type="http://schemas.openxmlformats.org/officeDocument/2006/relationships/queryTable" Target="../queryTables/queryTable720.xml"/><Relationship Id="rId50" Type="http://schemas.openxmlformats.org/officeDocument/2006/relationships/queryTable" Target="../queryTables/queryTable736.xml"/><Relationship Id="rId55" Type="http://schemas.openxmlformats.org/officeDocument/2006/relationships/queryTable" Target="../queryTables/queryTable741.xml"/><Relationship Id="rId76" Type="http://schemas.openxmlformats.org/officeDocument/2006/relationships/queryTable" Target="../queryTables/queryTable762.xml"/><Relationship Id="rId97" Type="http://schemas.openxmlformats.org/officeDocument/2006/relationships/queryTable" Target="../queryTables/queryTable783.xml"/><Relationship Id="rId104" Type="http://schemas.openxmlformats.org/officeDocument/2006/relationships/queryTable" Target="../queryTables/queryTable790.xml"/><Relationship Id="rId120" Type="http://schemas.openxmlformats.org/officeDocument/2006/relationships/queryTable" Target="../queryTables/queryTable806.xml"/><Relationship Id="rId125" Type="http://schemas.openxmlformats.org/officeDocument/2006/relationships/queryTable" Target="../queryTables/queryTable811.xml"/><Relationship Id="rId141" Type="http://schemas.openxmlformats.org/officeDocument/2006/relationships/queryTable" Target="../queryTables/queryTable827.xml"/><Relationship Id="rId146" Type="http://schemas.openxmlformats.org/officeDocument/2006/relationships/queryTable" Target="../queryTables/queryTable832.xml"/><Relationship Id="rId7" Type="http://schemas.openxmlformats.org/officeDocument/2006/relationships/queryTable" Target="../queryTables/queryTable693.xml"/><Relationship Id="rId71" Type="http://schemas.openxmlformats.org/officeDocument/2006/relationships/queryTable" Target="../queryTables/queryTable757.xml"/><Relationship Id="rId92" Type="http://schemas.openxmlformats.org/officeDocument/2006/relationships/queryTable" Target="../queryTables/queryTable778.xml"/><Relationship Id="rId2" Type="http://schemas.openxmlformats.org/officeDocument/2006/relationships/drawing" Target="../drawings/drawing6.xml"/><Relationship Id="rId29" Type="http://schemas.openxmlformats.org/officeDocument/2006/relationships/queryTable" Target="../queryTables/queryTable715.xml"/><Relationship Id="rId24" Type="http://schemas.openxmlformats.org/officeDocument/2006/relationships/queryTable" Target="../queryTables/queryTable710.xml"/><Relationship Id="rId40" Type="http://schemas.openxmlformats.org/officeDocument/2006/relationships/queryTable" Target="../queryTables/queryTable726.xml"/><Relationship Id="rId45" Type="http://schemas.openxmlformats.org/officeDocument/2006/relationships/queryTable" Target="../queryTables/queryTable731.xml"/><Relationship Id="rId66" Type="http://schemas.openxmlformats.org/officeDocument/2006/relationships/queryTable" Target="../queryTables/queryTable752.xml"/><Relationship Id="rId87" Type="http://schemas.openxmlformats.org/officeDocument/2006/relationships/queryTable" Target="../queryTables/queryTable773.xml"/><Relationship Id="rId110" Type="http://schemas.openxmlformats.org/officeDocument/2006/relationships/queryTable" Target="../queryTables/queryTable796.xml"/><Relationship Id="rId115" Type="http://schemas.openxmlformats.org/officeDocument/2006/relationships/queryTable" Target="../queryTables/queryTable801.xml"/><Relationship Id="rId131" Type="http://schemas.openxmlformats.org/officeDocument/2006/relationships/queryTable" Target="../queryTables/queryTable817.xml"/><Relationship Id="rId136" Type="http://schemas.openxmlformats.org/officeDocument/2006/relationships/queryTable" Target="../queryTables/queryTable822.xml"/><Relationship Id="rId61" Type="http://schemas.openxmlformats.org/officeDocument/2006/relationships/queryTable" Target="../queryTables/queryTable747.xml"/><Relationship Id="rId82" Type="http://schemas.openxmlformats.org/officeDocument/2006/relationships/queryTable" Target="../queryTables/queryTable768.xml"/><Relationship Id="rId19" Type="http://schemas.openxmlformats.org/officeDocument/2006/relationships/queryTable" Target="../queryTables/queryTable705.xml"/><Relationship Id="rId14" Type="http://schemas.openxmlformats.org/officeDocument/2006/relationships/queryTable" Target="../queryTables/queryTable700.xml"/><Relationship Id="rId30" Type="http://schemas.openxmlformats.org/officeDocument/2006/relationships/queryTable" Target="../queryTables/queryTable716.xml"/><Relationship Id="rId35" Type="http://schemas.openxmlformats.org/officeDocument/2006/relationships/queryTable" Target="../queryTables/queryTable721.xml"/><Relationship Id="rId56" Type="http://schemas.openxmlformats.org/officeDocument/2006/relationships/queryTable" Target="../queryTables/queryTable742.xml"/><Relationship Id="rId77" Type="http://schemas.openxmlformats.org/officeDocument/2006/relationships/queryTable" Target="../queryTables/queryTable763.xml"/><Relationship Id="rId100" Type="http://schemas.openxmlformats.org/officeDocument/2006/relationships/queryTable" Target="../queryTables/queryTable786.xml"/><Relationship Id="rId105" Type="http://schemas.openxmlformats.org/officeDocument/2006/relationships/queryTable" Target="../queryTables/queryTable791.xml"/><Relationship Id="rId126" Type="http://schemas.openxmlformats.org/officeDocument/2006/relationships/queryTable" Target="../queryTables/queryTable812.xml"/><Relationship Id="rId147" Type="http://schemas.openxmlformats.org/officeDocument/2006/relationships/queryTable" Target="../queryTables/queryTable833.xml"/><Relationship Id="rId8" Type="http://schemas.openxmlformats.org/officeDocument/2006/relationships/queryTable" Target="../queryTables/queryTable694.xml"/><Relationship Id="rId51" Type="http://schemas.openxmlformats.org/officeDocument/2006/relationships/queryTable" Target="../queryTables/queryTable737.xml"/><Relationship Id="rId72" Type="http://schemas.openxmlformats.org/officeDocument/2006/relationships/queryTable" Target="../queryTables/queryTable758.xml"/><Relationship Id="rId93" Type="http://schemas.openxmlformats.org/officeDocument/2006/relationships/queryTable" Target="../queryTables/queryTable779.xml"/><Relationship Id="rId98" Type="http://schemas.openxmlformats.org/officeDocument/2006/relationships/queryTable" Target="../queryTables/queryTable784.xml"/><Relationship Id="rId121" Type="http://schemas.openxmlformats.org/officeDocument/2006/relationships/queryTable" Target="../queryTables/queryTable807.xml"/><Relationship Id="rId142" Type="http://schemas.openxmlformats.org/officeDocument/2006/relationships/queryTable" Target="../queryTables/queryTable828.xml"/><Relationship Id="rId3" Type="http://schemas.openxmlformats.org/officeDocument/2006/relationships/vmlDrawing" Target="../drawings/vmlDrawing6.vml"/><Relationship Id="rId25" Type="http://schemas.openxmlformats.org/officeDocument/2006/relationships/queryTable" Target="../queryTables/queryTable711.xml"/><Relationship Id="rId46" Type="http://schemas.openxmlformats.org/officeDocument/2006/relationships/queryTable" Target="../queryTables/queryTable732.xml"/><Relationship Id="rId67" Type="http://schemas.openxmlformats.org/officeDocument/2006/relationships/queryTable" Target="../queryTables/queryTable753.xml"/><Relationship Id="rId116" Type="http://schemas.openxmlformats.org/officeDocument/2006/relationships/queryTable" Target="../queryTables/queryTable802.xml"/><Relationship Id="rId137" Type="http://schemas.openxmlformats.org/officeDocument/2006/relationships/queryTable" Target="../queryTables/queryTable823.xml"/><Relationship Id="rId20" Type="http://schemas.openxmlformats.org/officeDocument/2006/relationships/queryTable" Target="../queryTables/queryTable706.xml"/><Relationship Id="rId41" Type="http://schemas.openxmlformats.org/officeDocument/2006/relationships/queryTable" Target="../queryTables/queryTable727.xml"/><Relationship Id="rId62" Type="http://schemas.openxmlformats.org/officeDocument/2006/relationships/queryTable" Target="../queryTables/queryTable748.xml"/><Relationship Id="rId83" Type="http://schemas.openxmlformats.org/officeDocument/2006/relationships/queryTable" Target="../queryTables/queryTable769.xml"/><Relationship Id="rId88" Type="http://schemas.openxmlformats.org/officeDocument/2006/relationships/queryTable" Target="../queryTables/queryTable774.xml"/><Relationship Id="rId111" Type="http://schemas.openxmlformats.org/officeDocument/2006/relationships/queryTable" Target="../queryTables/queryTable797.xml"/><Relationship Id="rId132" Type="http://schemas.openxmlformats.org/officeDocument/2006/relationships/queryTable" Target="../queryTables/queryTable818.xml"/><Relationship Id="rId15" Type="http://schemas.openxmlformats.org/officeDocument/2006/relationships/queryTable" Target="../queryTables/queryTable701.xml"/><Relationship Id="rId36" Type="http://schemas.openxmlformats.org/officeDocument/2006/relationships/queryTable" Target="../queryTables/queryTable722.xml"/><Relationship Id="rId57" Type="http://schemas.openxmlformats.org/officeDocument/2006/relationships/queryTable" Target="../queryTables/queryTable743.xml"/><Relationship Id="rId106" Type="http://schemas.openxmlformats.org/officeDocument/2006/relationships/queryTable" Target="../queryTables/queryTable792.xml"/><Relationship Id="rId127" Type="http://schemas.openxmlformats.org/officeDocument/2006/relationships/queryTable" Target="../queryTables/queryTable813.xml"/><Relationship Id="rId10" Type="http://schemas.openxmlformats.org/officeDocument/2006/relationships/queryTable" Target="../queryTables/queryTable696.xml"/><Relationship Id="rId31" Type="http://schemas.openxmlformats.org/officeDocument/2006/relationships/queryTable" Target="../queryTables/queryTable717.xml"/><Relationship Id="rId52" Type="http://schemas.openxmlformats.org/officeDocument/2006/relationships/queryTable" Target="../queryTables/queryTable738.xml"/><Relationship Id="rId73" Type="http://schemas.openxmlformats.org/officeDocument/2006/relationships/queryTable" Target="../queryTables/queryTable759.xml"/><Relationship Id="rId78" Type="http://schemas.openxmlformats.org/officeDocument/2006/relationships/queryTable" Target="../queryTables/queryTable764.xml"/><Relationship Id="rId94" Type="http://schemas.openxmlformats.org/officeDocument/2006/relationships/queryTable" Target="../queryTables/queryTable780.xml"/><Relationship Id="rId99" Type="http://schemas.openxmlformats.org/officeDocument/2006/relationships/queryTable" Target="../queryTables/queryTable785.xml"/><Relationship Id="rId101" Type="http://schemas.openxmlformats.org/officeDocument/2006/relationships/queryTable" Target="../queryTables/queryTable787.xml"/><Relationship Id="rId122" Type="http://schemas.openxmlformats.org/officeDocument/2006/relationships/queryTable" Target="../queryTables/queryTable808.xml"/><Relationship Id="rId143" Type="http://schemas.openxmlformats.org/officeDocument/2006/relationships/queryTable" Target="../queryTables/queryTable829.xml"/><Relationship Id="rId148" Type="http://schemas.openxmlformats.org/officeDocument/2006/relationships/queryTable" Target="../queryTables/queryTable834.xml"/><Relationship Id="rId4" Type="http://schemas.openxmlformats.org/officeDocument/2006/relationships/control" Target="../activeX/activeX6.xml"/><Relationship Id="rId9" Type="http://schemas.openxmlformats.org/officeDocument/2006/relationships/queryTable" Target="../queryTables/queryTable695.xml"/><Relationship Id="rId26" Type="http://schemas.openxmlformats.org/officeDocument/2006/relationships/queryTable" Target="../queryTables/queryTable712.xml"/><Relationship Id="rId47" Type="http://schemas.openxmlformats.org/officeDocument/2006/relationships/queryTable" Target="../queryTables/queryTable733.xml"/><Relationship Id="rId68" Type="http://schemas.openxmlformats.org/officeDocument/2006/relationships/queryTable" Target="../queryTables/queryTable754.xml"/><Relationship Id="rId89" Type="http://schemas.openxmlformats.org/officeDocument/2006/relationships/queryTable" Target="../queryTables/queryTable775.xml"/><Relationship Id="rId112" Type="http://schemas.openxmlformats.org/officeDocument/2006/relationships/queryTable" Target="../queryTables/queryTable798.xml"/><Relationship Id="rId133" Type="http://schemas.openxmlformats.org/officeDocument/2006/relationships/queryTable" Target="../queryTables/queryTable819.xml"/><Relationship Id="rId16" Type="http://schemas.openxmlformats.org/officeDocument/2006/relationships/queryTable" Target="../queryTables/queryTable702.xml"/><Relationship Id="rId37" Type="http://schemas.openxmlformats.org/officeDocument/2006/relationships/queryTable" Target="../queryTables/queryTable723.xml"/><Relationship Id="rId58" Type="http://schemas.openxmlformats.org/officeDocument/2006/relationships/queryTable" Target="../queryTables/queryTable744.xml"/><Relationship Id="rId79" Type="http://schemas.openxmlformats.org/officeDocument/2006/relationships/queryTable" Target="../queryTables/queryTable765.xml"/><Relationship Id="rId102" Type="http://schemas.openxmlformats.org/officeDocument/2006/relationships/queryTable" Target="../queryTables/queryTable788.xml"/><Relationship Id="rId123" Type="http://schemas.openxmlformats.org/officeDocument/2006/relationships/queryTable" Target="../queryTables/queryTable809.xml"/><Relationship Id="rId144" Type="http://schemas.openxmlformats.org/officeDocument/2006/relationships/queryTable" Target="../queryTables/queryTable830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46.xml"/><Relationship Id="rId21" Type="http://schemas.openxmlformats.org/officeDocument/2006/relationships/queryTable" Target="../queryTables/queryTable850.xml"/><Relationship Id="rId42" Type="http://schemas.openxmlformats.org/officeDocument/2006/relationships/queryTable" Target="../queryTables/queryTable871.xml"/><Relationship Id="rId63" Type="http://schemas.openxmlformats.org/officeDocument/2006/relationships/queryTable" Target="../queryTables/queryTable892.xml"/><Relationship Id="rId84" Type="http://schemas.openxmlformats.org/officeDocument/2006/relationships/queryTable" Target="../queryTables/queryTable913.xml"/><Relationship Id="rId138" Type="http://schemas.openxmlformats.org/officeDocument/2006/relationships/queryTable" Target="../queryTables/queryTable967.xml"/><Relationship Id="rId107" Type="http://schemas.openxmlformats.org/officeDocument/2006/relationships/queryTable" Target="../queryTables/queryTable936.xml"/><Relationship Id="rId11" Type="http://schemas.openxmlformats.org/officeDocument/2006/relationships/queryTable" Target="../queryTables/queryTable840.xml"/><Relationship Id="rId32" Type="http://schemas.openxmlformats.org/officeDocument/2006/relationships/queryTable" Target="../queryTables/queryTable861.xml"/><Relationship Id="rId53" Type="http://schemas.openxmlformats.org/officeDocument/2006/relationships/queryTable" Target="../queryTables/queryTable882.xml"/><Relationship Id="rId74" Type="http://schemas.openxmlformats.org/officeDocument/2006/relationships/queryTable" Target="../queryTables/queryTable903.xml"/><Relationship Id="rId128" Type="http://schemas.openxmlformats.org/officeDocument/2006/relationships/queryTable" Target="../queryTables/queryTable957.xml"/><Relationship Id="rId149" Type="http://schemas.openxmlformats.org/officeDocument/2006/relationships/queryTable" Target="../queryTables/queryTable978.xml"/><Relationship Id="rId5" Type="http://schemas.openxmlformats.org/officeDocument/2006/relationships/image" Target="../media/image7.emf"/><Relationship Id="rId95" Type="http://schemas.openxmlformats.org/officeDocument/2006/relationships/queryTable" Target="../queryTables/queryTable924.xml"/><Relationship Id="rId22" Type="http://schemas.openxmlformats.org/officeDocument/2006/relationships/queryTable" Target="../queryTables/queryTable851.xml"/><Relationship Id="rId27" Type="http://schemas.openxmlformats.org/officeDocument/2006/relationships/queryTable" Target="../queryTables/queryTable856.xml"/><Relationship Id="rId43" Type="http://schemas.openxmlformats.org/officeDocument/2006/relationships/queryTable" Target="../queryTables/queryTable872.xml"/><Relationship Id="rId48" Type="http://schemas.openxmlformats.org/officeDocument/2006/relationships/queryTable" Target="../queryTables/queryTable877.xml"/><Relationship Id="rId64" Type="http://schemas.openxmlformats.org/officeDocument/2006/relationships/queryTable" Target="../queryTables/queryTable893.xml"/><Relationship Id="rId69" Type="http://schemas.openxmlformats.org/officeDocument/2006/relationships/queryTable" Target="../queryTables/queryTable898.xml"/><Relationship Id="rId113" Type="http://schemas.openxmlformats.org/officeDocument/2006/relationships/queryTable" Target="../queryTables/queryTable942.xml"/><Relationship Id="rId118" Type="http://schemas.openxmlformats.org/officeDocument/2006/relationships/queryTable" Target="../queryTables/queryTable947.xml"/><Relationship Id="rId134" Type="http://schemas.openxmlformats.org/officeDocument/2006/relationships/queryTable" Target="../queryTables/queryTable963.xml"/><Relationship Id="rId139" Type="http://schemas.openxmlformats.org/officeDocument/2006/relationships/queryTable" Target="../queryTables/queryTable968.xml"/><Relationship Id="rId80" Type="http://schemas.openxmlformats.org/officeDocument/2006/relationships/queryTable" Target="../queryTables/queryTable909.xml"/><Relationship Id="rId85" Type="http://schemas.openxmlformats.org/officeDocument/2006/relationships/queryTable" Target="../queryTables/queryTable914.xml"/><Relationship Id="rId150" Type="http://schemas.openxmlformats.org/officeDocument/2006/relationships/queryTable" Target="../queryTables/queryTable979.xml"/><Relationship Id="rId12" Type="http://schemas.openxmlformats.org/officeDocument/2006/relationships/queryTable" Target="../queryTables/queryTable841.xml"/><Relationship Id="rId17" Type="http://schemas.openxmlformats.org/officeDocument/2006/relationships/queryTable" Target="../queryTables/queryTable846.xml"/><Relationship Id="rId33" Type="http://schemas.openxmlformats.org/officeDocument/2006/relationships/queryTable" Target="../queryTables/queryTable862.xml"/><Relationship Id="rId38" Type="http://schemas.openxmlformats.org/officeDocument/2006/relationships/queryTable" Target="../queryTables/queryTable867.xml"/><Relationship Id="rId59" Type="http://schemas.openxmlformats.org/officeDocument/2006/relationships/queryTable" Target="../queryTables/queryTable888.xml"/><Relationship Id="rId103" Type="http://schemas.openxmlformats.org/officeDocument/2006/relationships/queryTable" Target="../queryTables/queryTable932.xml"/><Relationship Id="rId108" Type="http://schemas.openxmlformats.org/officeDocument/2006/relationships/queryTable" Target="../queryTables/queryTable937.xml"/><Relationship Id="rId124" Type="http://schemas.openxmlformats.org/officeDocument/2006/relationships/queryTable" Target="../queryTables/queryTable953.xml"/><Relationship Id="rId129" Type="http://schemas.openxmlformats.org/officeDocument/2006/relationships/queryTable" Target="../queryTables/queryTable958.xml"/><Relationship Id="rId54" Type="http://schemas.openxmlformats.org/officeDocument/2006/relationships/queryTable" Target="../queryTables/queryTable883.xml"/><Relationship Id="rId70" Type="http://schemas.openxmlformats.org/officeDocument/2006/relationships/queryTable" Target="../queryTables/queryTable899.xml"/><Relationship Id="rId75" Type="http://schemas.openxmlformats.org/officeDocument/2006/relationships/queryTable" Target="../queryTables/queryTable904.xml"/><Relationship Id="rId91" Type="http://schemas.openxmlformats.org/officeDocument/2006/relationships/queryTable" Target="../queryTables/queryTable920.xml"/><Relationship Id="rId96" Type="http://schemas.openxmlformats.org/officeDocument/2006/relationships/queryTable" Target="../queryTables/queryTable925.xml"/><Relationship Id="rId140" Type="http://schemas.openxmlformats.org/officeDocument/2006/relationships/queryTable" Target="../queryTables/queryTable969.xml"/><Relationship Id="rId145" Type="http://schemas.openxmlformats.org/officeDocument/2006/relationships/queryTable" Target="../queryTables/queryTable974.xml"/><Relationship Id="rId1" Type="http://schemas.openxmlformats.org/officeDocument/2006/relationships/printerSettings" Target="../printerSettings/printerSettings8.bin"/><Relationship Id="rId6" Type="http://schemas.openxmlformats.org/officeDocument/2006/relationships/queryTable" Target="../queryTables/queryTable835.xml"/><Relationship Id="rId23" Type="http://schemas.openxmlformats.org/officeDocument/2006/relationships/queryTable" Target="../queryTables/queryTable852.xml"/><Relationship Id="rId28" Type="http://schemas.openxmlformats.org/officeDocument/2006/relationships/queryTable" Target="../queryTables/queryTable857.xml"/><Relationship Id="rId49" Type="http://schemas.openxmlformats.org/officeDocument/2006/relationships/queryTable" Target="../queryTables/queryTable878.xml"/><Relationship Id="rId114" Type="http://schemas.openxmlformats.org/officeDocument/2006/relationships/queryTable" Target="../queryTables/queryTable943.xml"/><Relationship Id="rId119" Type="http://schemas.openxmlformats.org/officeDocument/2006/relationships/queryTable" Target="../queryTables/queryTable948.xml"/><Relationship Id="rId44" Type="http://schemas.openxmlformats.org/officeDocument/2006/relationships/queryTable" Target="../queryTables/queryTable873.xml"/><Relationship Id="rId60" Type="http://schemas.openxmlformats.org/officeDocument/2006/relationships/queryTable" Target="../queryTables/queryTable889.xml"/><Relationship Id="rId65" Type="http://schemas.openxmlformats.org/officeDocument/2006/relationships/queryTable" Target="../queryTables/queryTable894.xml"/><Relationship Id="rId81" Type="http://schemas.openxmlformats.org/officeDocument/2006/relationships/queryTable" Target="../queryTables/queryTable910.xml"/><Relationship Id="rId86" Type="http://schemas.openxmlformats.org/officeDocument/2006/relationships/queryTable" Target="../queryTables/queryTable915.xml"/><Relationship Id="rId130" Type="http://schemas.openxmlformats.org/officeDocument/2006/relationships/queryTable" Target="../queryTables/queryTable959.xml"/><Relationship Id="rId135" Type="http://schemas.openxmlformats.org/officeDocument/2006/relationships/queryTable" Target="../queryTables/queryTable964.xml"/><Relationship Id="rId13" Type="http://schemas.openxmlformats.org/officeDocument/2006/relationships/queryTable" Target="../queryTables/queryTable842.xml"/><Relationship Id="rId18" Type="http://schemas.openxmlformats.org/officeDocument/2006/relationships/queryTable" Target="../queryTables/queryTable847.xml"/><Relationship Id="rId39" Type="http://schemas.openxmlformats.org/officeDocument/2006/relationships/queryTable" Target="../queryTables/queryTable868.xml"/><Relationship Id="rId109" Type="http://schemas.openxmlformats.org/officeDocument/2006/relationships/queryTable" Target="../queryTables/queryTable938.xml"/><Relationship Id="rId34" Type="http://schemas.openxmlformats.org/officeDocument/2006/relationships/queryTable" Target="../queryTables/queryTable863.xml"/><Relationship Id="rId50" Type="http://schemas.openxmlformats.org/officeDocument/2006/relationships/queryTable" Target="../queryTables/queryTable879.xml"/><Relationship Id="rId55" Type="http://schemas.openxmlformats.org/officeDocument/2006/relationships/queryTable" Target="../queryTables/queryTable884.xml"/><Relationship Id="rId76" Type="http://schemas.openxmlformats.org/officeDocument/2006/relationships/queryTable" Target="../queryTables/queryTable905.xml"/><Relationship Id="rId97" Type="http://schemas.openxmlformats.org/officeDocument/2006/relationships/queryTable" Target="../queryTables/queryTable926.xml"/><Relationship Id="rId104" Type="http://schemas.openxmlformats.org/officeDocument/2006/relationships/queryTable" Target="../queryTables/queryTable933.xml"/><Relationship Id="rId120" Type="http://schemas.openxmlformats.org/officeDocument/2006/relationships/queryTable" Target="../queryTables/queryTable949.xml"/><Relationship Id="rId125" Type="http://schemas.openxmlformats.org/officeDocument/2006/relationships/queryTable" Target="../queryTables/queryTable954.xml"/><Relationship Id="rId141" Type="http://schemas.openxmlformats.org/officeDocument/2006/relationships/queryTable" Target="../queryTables/queryTable970.xml"/><Relationship Id="rId146" Type="http://schemas.openxmlformats.org/officeDocument/2006/relationships/queryTable" Target="../queryTables/queryTable975.xml"/><Relationship Id="rId7" Type="http://schemas.openxmlformats.org/officeDocument/2006/relationships/queryTable" Target="../queryTables/queryTable836.xml"/><Relationship Id="rId71" Type="http://schemas.openxmlformats.org/officeDocument/2006/relationships/queryTable" Target="../queryTables/queryTable900.xml"/><Relationship Id="rId92" Type="http://schemas.openxmlformats.org/officeDocument/2006/relationships/queryTable" Target="../queryTables/queryTable921.xml"/><Relationship Id="rId2" Type="http://schemas.openxmlformats.org/officeDocument/2006/relationships/drawing" Target="../drawings/drawing7.xml"/><Relationship Id="rId29" Type="http://schemas.openxmlformats.org/officeDocument/2006/relationships/queryTable" Target="../queryTables/queryTable858.xml"/><Relationship Id="rId24" Type="http://schemas.openxmlformats.org/officeDocument/2006/relationships/queryTable" Target="../queryTables/queryTable853.xml"/><Relationship Id="rId40" Type="http://schemas.openxmlformats.org/officeDocument/2006/relationships/queryTable" Target="../queryTables/queryTable869.xml"/><Relationship Id="rId45" Type="http://schemas.openxmlformats.org/officeDocument/2006/relationships/queryTable" Target="../queryTables/queryTable874.xml"/><Relationship Id="rId66" Type="http://schemas.openxmlformats.org/officeDocument/2006/relationships/queryTable" Target="../queryTables/queryTable895.xml"/><Relationship Id="rId87" Type="http://schemas.openxmlformats.org/officeDocument/2006/relationships/queryTable" Target="../queryTables/queryTable916.xml"/><Relationship Id="rId110" Type="http://schemas.openxmlformats.org/officeDocument/2006/relationships/queryTable" Target="../queryTables/queryTable939.xml"/><Relationship Id="rId115" Type="http://schemas.openxmlformats.org/officeDocument/2006/relationships/queryTable" Target="../queryTables/queryTable944.xml"/><Relationship Id="rId131" Type="http://schemas.openxmlformats.org/officeDocument/2006/relationships/queryTable" Target="../queryTables/queryTable960.xml"/><Relationship Id="rId136" Type="http://schemas.openxmlformats.org/officeDocument/2006/relationships/queryTable" Target="../queryTables/queryTable965.xml"/><Relationship Id="rId61" Type="http://schemas.openxmlformats.org/officeDocument/2006/relationships/queryTable" Target="../queryTables/queryTable890.xml"/><Relationship Id="rId82" Type="http://schemas.openxmlformats.org/officeDocument/2006/relationships/queryTable" Target="../queryTables/queryTable911.xml"/><Relationship Id="rId19" Type="http://schemas.openxmlformats.org/officeDocument/2006/relationships/queryTable" Target="../queryTables/queryTable848.xml"/><Relationship Id="rId14" Type="http://schemas.openxmlformats.org/officeDocument/2006/relationships/queryTable" Target="../queryTables/queryTable843.xml"/><Relationship Id="rId30" Type="http://schemas.openxmlformats.org/officeDocument/2006/relationships/queryTable" Target="../queryTables/queryTable859.xml"/><Relationship Id="rId35" Type="http://schemas.openxmlformats.org/officeDocument/2006/relationships/queryTable" Target="../queryTables/queryTable864.xml"/><Relationship Id="rId56" Type="http://schemas.openxmlformats.org/officeDocument/2006/relationships/queryTable" Target="../queryTables/queryTable885.xml"/><Relationship Id="rId77" Type="http://schemas.openxmlformats.org/officeDocument/2006/relationships/queryTable" Target="../queryTables/queryTable906.xml"/><Relationship Id="rId100" Type="http://schemas.openxmlformats.org/officeDocument/2006/relationships/queryTable" Target="../queryTables/queryTable929.xml"/><Relationship Id="rId105" Type="http://schemas.openxmlformats.org/officeDocument/2006/relationships/queryTable" Target="../queryTables/queryTable934.xml"/><Relationship Id="rId126" Type="http://schemas.openxmlformats.org/officeDocument/2006/relationships/queryTable" Target="../queryTables/queryTable955.xml"/><Relationship Id="rId147" Type="http://schemas.openxmlformats.org/officeDocument/2006/relationships/queryTable" Target="../queryTables/queryTable976.xml"/><Relationship Id="rId8" Type="http://schemas.openxmlformats.org/officeDocument/2006/relationships/queryTable" Target="../queryTables/queryTable837.xml"/><Relationship Id="rId51" Type="http://schemas.openxmlformats.org/officeDocument/2006/relationships/queryTable" Target="../queryTables/queryTable880.xml"/><Relationship Id="rId72" Type="http://schemas.openxmlformats.org/officeDocument/2006/relationships/queryTable" Target="../queryTables/queryTable901.xml"/><Relationship Id="rId93" Type="http://schemas.openxmlformats.org/officeDocument/2006/relationships/queryTable" Target="../queryTables/queryTable922.xml"/><Relationship Id="rId98" Type="http://schemas.openxmlformats.org/officeDocument/2006/relationships/queryTable" Target="../queryTables/queryTable927.xml"/><Relationship Id="rId121" Type="http://schemas.openxmlformats.org/officeDocument/2006/relationships/queryTable" Target="../queryTables/queryTable950.xml"/><Relationship Id="rId142" Type="http://schemas.openxmlformats.org/officeDocument/2006/relationships/queryTable" Target="../queryTables/queryTable971.xml"/><Relationship Id="rId3" Type="http://schemas.openxmlformats.org/officeDocument/2006/relationships/vmlDrawing" Target="../drawings/vmlDrawing7.vml"/><Relationship Id="rId25" Type="http://schemas.openxmlformats.org/officeDocument/2006/relationships/queryTable" Target="../queryTables/queryTable854.xml"/><Relationship Id="rId46" Type="http://schemas.openxmlformats.org/officeDocument/2006/relationships/queryTable" Target="../queryTables/queryTable875.xml"/><Relationship Id="rId67" Type="http://schemas.openxmlformats.org/officeDocument/2006/relationships/queryTable" Target="../queryTables/queryTable896.xml"/><Relationship Id="rId116" Type="http://schemas.openxmlformats.org/officeDocument/2006/relationships/queryTable" Target="../queryTables/queryTable945.xml"/><Relationship Id="rId137" Type="http://schemas.openxmlformats.org/officeDocument/2006/relationships/queryTable" Target="../queryTables/queryTable966.xml"/><Relationship Id="rId20" Type="http://schemas.openxmlformats.org/officeDocument/2006/relationships/queryTable" Target="../queryTables/queryTable849.xml"/><Relationship Id="rId41" Type="http://schemas.openxmlformats.org/officeDocument/2006/relationships/queryTable" Target="../queryTables/queryTable870.xml"/><Relationship Id="rId62" Type="http://schemas.openxmlformats.org/officeDocument/2006/relationships/queryTable" Target="../queryTables/queryTable891.xml"/><Relationship Id="rId83" Type="http://schemas.openxmlformats.org/officeDocument/2006/relationships/queryTable" Target="../queryTables/queryTable912.xml"/><Relationship Id="rId88" Type="http://schemas.openxmlformats.org/officeDocument/2006/relationships/queryTable" Target="../queryTables/queryTable917.xml"/><Relationship Id="rId111" Type="http://schemas.openxmlformats.org/officeDocument/2006/relationships/queryTable" Target="../queryTables/queryTable940.xml"/><Relationship Id="rId132" Type="http://schemas.openxmlformats.org/officeDocument/2006/relationships/queryTable" Target="../queryTables/queryTable961.xml"/><Relationship Id="rId15" Type="http://schemas.openxmlformats.org/officeDocument/2006/relationships/queryTable" Target="../queryTables/queryTable844.xml"/><Relationship Id="rId36" Type="http://schemas.openxmlformats.org/officeDocument/2006/relationships/queryTable" Target="../queryTables/queryTable865.xml"/><Relationship Id="rId57" Type="http://schemas.openxmlformats.org/officeDocument/2006/relationships/queryTable" Target="../queryTables/queryTable886.xml"/><Relationship Id="rId106" Type="http://schemas.openxmlformats.org/officeDocument/2006/relationships/queryTable" Target="../queryTables/queryTable935.xml"/><Relationship Id="rId127" Type="http://schemas.openxmlformats.org/officeDocument/2006/relationships/queryTable" Target="../queryTables/queryTable956.xml"/><Relationship Id="rId10" Type="http://schemas.openxmlformats.org/officeDocument/2006/relationships/queryTable" Target="../queryTables/queryTable839.xml"/><Relationship Id="rId31" Type="http://schemas.openxmlformats.org/officeDocument/2006/relationships/queryTable" Target="../queryTables/queryTable860.xml"/><Relationship Id="rId52" Type="http://schemas.openxmlformats.org/officeDocument/2006/relationships/queryTable" Target="../queryTables/queryTable881.xml"/><Relationship Id="rId73" Type="http://schemas.openxmlformats.org/officeDocument/2006/relationships/queryTable" Target="../queryTables/queryTable902.xml"/><Relationship Id="rId78" Type="http://schemas.openxmlformats.org/officeDocument/2006/relationships/queryTable" Target="../queryTables/queryTable907.xml"/><Relationship Id="rId94" Type="http://schemas.openxmlformats.org/officeDocument/2006/relationships/queryTable" Target="../queryTables/queryTable923.xml"/><Relationship Id="rId99" Type="http://schemas.openxmlformats.org/officeDocument/2006/relationships/queryTable" Target="../queryTables/queryTable928.xml"/><Relationship Id="rId101" Type="http://schemas.openxmlformats.org/officeDocument/2006/relationships/queryTable" Target="../queryTables/queryTable930.xml"/><Relationship Id="rId122" Type="http://schemas.openxmlformats.org/officeDocument/2006/relationships/queryTable" Target="../queryTables/queryTable951.xml"/><Relationship Id="rId143" Type="http://schemas.openxmlformats.org/officeDocument/2006/relationships/queryTable" Target="../queryTables/queryTable972.xml"/><Relationship Id="rId148" Type="http://schemas.openxmlformats.org/officeDocument/2006/relationships/queryTable" Target="../queryTables/queryTable977.xml"/><Relationship Id="rId4" Type="http://schemas.openxmlformats.org/officeDocument/2006/relationships/control" Target="../activeX/activeX7.xml"/><Relationship Id="rId9" Type="http://schemas.openxmlformats.org/officeDocument/2006/relationships/queryTable" Target="../queryTables/queryTable838.xml"/><Relationship Id="rId26" Type="http://schemas.openxmlformats.org/officeDocument/2006/relationships/queryTable" Target="../queryTables/queryTable855.xml"/><Relationship Id="rId47" Type="http://schemas.openxmlformats.org/officeDocument/2006/relationships/queryTable" Target="../queryTables/queryTable876.xml"/><Relationship Id="rId68" Type="http://schemas.openxmlformats.org/officeDocument/2006/relationships/queryTable" Target="../queryTables/queryTable897.xml"/><Relationship Id="rId89" Type="http://schemas.openxmlformats.org/officeDocument/2006/relationships/queryTable" Target="../queryTables/queryTable918.xml"/><Relationship Id="rId112" Type="http://schemas.openxmlformats.org/officeDocument/2006/relationships/queryTable" Target="../queryTables/queryTable941.xml"/><Relationship Id="rId133" Type="http://schemas.openxmlformats.org/officeDocument/2006/relationships/queryTable" Target="../queryTables/queryTable962.xml"/><Relationship Id="rId16" Type="http://schemas.openxmlformats.org/officeDocument/2006/relationships/queryTable" Target="../queryTables/queryTable845.xml"/><Relationship Id="rId37" Type="http://schemas.openxmlformats.org/officeDocument/2006/relationships/queryTable" Target="../queryTables/queryTable866.xml"/><Relationship Id="rId58" Type="http://schemas.openxmlformats.org/officeDocument/2006/relationships/queryTable" Target="../queryTables/queryTable887.xml"/><Relationship Id="rId79" Type="http://schemas.openxmlformats.org/officeDocument/2006/relationships/queryTable" Target="../queryTables/queryTable908.xml"/><Relationship Id="rId102" Type="http://schemas.openxmlformats.org/officeDocument/2006/relationships/queryTable" Target="../queryTables/queryTable931.xml"/><Relationship Id="rId123" Type="http://schemas.openxmlformats.org/officeDocument/2006/relationships/queryTable" Target="../queryTables/queryTable952.xml"/><Relationship Id="rId144" Type="http://schemas.openxmlformats.org/officeDocument/2006/relationships/queryTable" Target="../queryTables/queryTable973.xml"/><Relationship Id="rId90" Type="http://schemas.openxmlformats.org/officeDocument/2006/relationships/queryTable" Target="../queryTables/queryTable919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1.xml"/><Relationship Id="rId21" Type="http://schemas.openxmlformats.org/officeDocument/2006/relationships/queryTable" Target="../queryTables/queryTable995.xml"/><Relationship Id="rId42" Type="http://schemas.openxmlformats.org/officeDocument/2006/relationships/queryTable" Target="../queryTables/queryTable1016.xml"/><Relationship Id="rId63" Type="http://schemas.openxmlformats.org/officeDocument/2006/relationships/queryTable" Target="../queryTables/queryTable1037.xml"/><Relationship Id="rId84" Type="http://schemas.openxmlformats.org/officeDocument/2006/relationships/queryTable" Target="../queryTables/queryTable1058.xml"/><Relationship Id="rId138" Type="http://schemas.openxmlformats.org/officeDocument/2006/relationships/queryTable" Target="../queryTables/queryTable1112.xml"/><Relationship Id="rId107" Type="http://schemas.openxmlformats.org/officeDocument/2006/relationships/queryTable" Target="../queryTables/queryTable1081.xml"/><Relationship Id="rId11" Type="http://schemas.openxmlformats.org/officeDocument/2006/relationships/queryTable" Target="../queryTables/queryTable985.xml"/><Relationship Id="rId32" Type="http://schemas.openxmlformats.org/officeDocument/2006/relationships/queryTable" Target="../queryTables/queryTable1006.xml"/><Relationship Id="rId53" Type="http://schemas.openxmlformats.org/officeDocument/2006/relationships/queryTable" Target="../queryTables/queryTable1027.xml"/><Relationship Id="rId74" Type="http://schemas.openxmlformats.org/officeDocument/2006/relationships/queryTable" Target="../queryTables/queryTable1048.xml"/><Relationship Id="rId128" Type="http://schemas.openxmlformats.org/officeDocument/2006/relationships/queryTable" Target="../queryTables/queryTable1102.xml"/><Relationship Id="rId149" Type="http://schemas.openxmlformats.org/officeDocument/2006/relationships/queryTable" Target="../queryTables/queryTable1123.xml"/><Relationship Id="rId5" Type="http://schemas.openxmlformats.org/officeDocument/2006/relationships/image" Target="../media/image8.emf"/><Relationship Id="rId95" Type="http://schemas.openxmlformats.org/officeDocument/2006/relationships/queryTable" Target="../queryTables/queryTable1069.xml"/><Relationship Id="rId22" Type="http://schemas.openxmlformats.org/officeDocument/2006/relationships/queryTable" Target="../queryTables/queryTable996.xml"/><Relationship Id="rId27" Type="http://schemas.openxmlformats.org/officeDocument/2006/relationships/queryTable" Target="../queryTables/queryTable1001.xml"/><Relationship Id="rId43" Type="http://schemas.openxmlformats.org/officeDocument/2006/relationships/queryTable" Target="../queryTables/queryTable1017.xml"/><Relationship Id="rId48" Type="http://schemas.openxmlformats.org/officeDocument/2006/relationships/queryTable" Target="../queryTables/queryTable1022.xml"/><Relationship Id="rId64" Type="http://schemas.openxmlformats.org/officeDocument/2006/relationships/queryTable" Target="../queryTables/queryTable1038.xml"/><Relationship Id="rId69" Type="http://schemas.openxmlformats.org/officeDocument/2006/relationships/queryTable" Target="../queryTables/queryTable1043.xml"/><Relationship Id="rId113" Type="http://schemas.openxmlformats.org/officeDocument/2006/relationships/queryTable" Target="../queryTables/queryTable1087.xml"/><Relationship Id="rId118" Type="http://schemas.openxmlformats.org/officeDocument/2006/relationships/queryTable" Target="../queryTables/queryTable1092.xml"/><Relationship Id="rId134" Type="http://schemas.openxmlformats.org/officeDocument/2006/relationships/queryTable" Target="../queryTables/queryTable1108.xml"/><Relationship Id="rId139" Type="http://schemas.openxmlformats.org/officeDocument/2006/relationships/queryTable" Target="../queryTables/queryTable1113.xml"/><Relationship Id="rId80" Type="http://schemas.openxmlformats.org/officeDocument/2006/relationships/queryTable" Target="../queryTables/queryTable1054.xml"/><Relationship Id="rId85" Type="http://schemas.openxmlformats.org/officeDocument/2006/relationships/queryTable" Target="../queryTables/queryTable1059.xml"/><Relationship Id="rId150" Type="http://schemas.openxmlformats.org/officeDocument/2006/relationships/queryTable" Target="../queryTables/queryTable1124.xml"/><Relationship Id="rId12" Type="http://schemas.openxmlformats.org/officeDocument/2006/relationships/queryTable" Target="../queryTables/queryTable986.xml"/><Relationship Id="rId17" Type="http://schemas.openxmlformats.org/officeDocument/2006/relationships/queryTable" Target="../queryTables/queryTable991.xml"/><Relationship Id="rId33" Type="http://schemas.openxmlformats.org/officeDocument/2006/relationships/queryTable" Target="../queryTables/queryTable1007.xml"/><Relationship Id="rId38" Type="http://schemas.openxmlformats.org/officeDocument/2006/relationships/queryTable" Target="../queryTables/queryTable1012.xml"/><Relationship Id="rId59" Type="http://schemas.openxmlformats.org/officeDocument/2006/relationships/queryTable" Target="../queryTables/queryTable1033.xml"/><Relationship Id="rId103" Type="http://schemas.openxmlformats.org/officeDocument/2006/relationships/queryTable" Target="../queryTables/queryTable1077.xml"/><Relationship Id="rId108" Type="http://schemas.openxmlformats.org/officeDocument/2006/relationships/queryTable" Target="../queryTables/queryTable1082.xml"/><Relationship Id="rId124" Type="http://schemas.openxmlformats.org/officeDocument/2006/relationships/queryTable" Target="../queryTables/queryTable1098.xml"/><Relationship Id="rId129" Type="http://schemas.openxmlformats.org/officeDocument/2006/relationships/queryTable" Target="../queryTables/queryTable1103.xml"/><Relationship Id="rId54" Type="http://schemas.openxmlformats.org/officeDocument/2006/relationships/queryTable" Target="../queryTables/queryTable1028.xml"/><Relationship Id="rId70" Type="http://schemas.openxmlformats.org/officeDocument/2006/relationships/queryTable" Target="../queryTables/queryTable1044.xml"/><Relationship Id="rId75" Type="http://schemas.openxmlformats.org/officeDocument/2006/relationships/queryTable" Target="../queryTables/queryTable1049.xml"/><Relationship Id="rId91" Type="http://schemas.openxmlformats.org/officeDocument/2006/relationships/queryTable" Target="../queryTables/queryTable1065.xml"/><Relationship Id="rId96" Type="http://schemas.openxmlformats.org/officeDocument/2006/relationships/queryTable" Target="../queryTables/queryTable1070.xml"/><Relationship Id="rId140" Type="http://schemas.openxmlformats.org/officeDocument/2006/relationships/queryTable" Target="../queryTables/queryTable1114.xml"/><Relationship Id="rId145" Type="http://schemas.openxmlformats.org/officeDocument/2006/relationships/queryTable" Target="../queryTables/queryTable1119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980.xml"/><Relationship Id="rId23" Type="http://schemas.openxmlformats.org/officeDocument/2006/relationships/queryTable" Target="../queryTables/queryTable997.xml"/><Relationship Id="rId28" Type="http://schemas.openxmlformats.org/officeDocument/2006/relationships/queryTable" Target="../queryTables/queryTable1002.xml"/><Relationship Id="rId49" Type="http://schemas.openxmlformats.org/officeDocument/2006/relationships/queryTable" Target="../queryTables/queryTable1023.xml"/><Relationship Id="rId114" Type="http://schemas.openxmlformats.org/officeDocument/2006/relationships/queryTable" Target="../queryTables/queryTable1088.xml"/><Relationship Id="rId119" Type="http://schemas.openxmlformats.org/officeDocument/2006/relationships/queryTable" Target="../queryTables/queryTable1093.xml"/><Relationship Id="rId44" Type="http://schemas.openxmlformats.org/officeDocument/2006/relationships/queryTable" Target="../queryTables/queryTable1018.xml"/><Relationship Id="rId60" Type="http://schemas.openxmlformats.org/officeDocument/2006/relationships/queryTable" Target="../queryTables/queryTable1034.xml"/><Relationship Id="rId65" Type="http://schemas.openxmlformats.org/officeDocument/2006/relationships/queryTable" Target="../queryTables/queryTable1039.xml"/><Relationship Id="rId81" Type="http://schemas.openxmlformats.org/officeDocument/2006/relationships/queryTable" Target="../queryTables/queryTable1055.xml"/><Relationship Id="rId86" Type="http://schemas.openxmlformats.org/officeDocument/2006/relationships/queryTable" Target="../queryTables/queryTable1060.xml"/><Relationship Id="rId130" Type="http://schemas.openxmlformats.org/officeDocument/2006/relationships/queryTable" Target="../queryTables/queryTable1104.xml"/><Relationship Id="rId135" Type="http://schemas.openxmlformats.org/officeDocument/2006/relationships/queryTable" Target="../queryTables/queryTable1109.xml"/><Relationship Id="rId13" Type="http://schemas.openxmlformats.org/officeDocument/2006/relationships/queryTable" Target="../queryTables/queryTable987.xml"/><Relationship Id="rId18" Type="http://schemas.openxmlformats.org/officeDocument/2006/relationships/queryTable" Target="../queryTables/queryTable992.xml"/><Relationship Id="rId39" Type="http://schemas.openxmlformats.org/officeDocument/2006/relationships/queryTable" Target="../queryTables/queryTable1013.xml"/><Relationship Id="rId109" Type="http://schemas.openxmlformats.org/officeDocument/2006/relationships/queryTable" Target="../queryTables/queryTable1083.xml"/><Relationship Id="rId34" Type="http://schemas.openxmlformats.org/officeDocument/2006/relationships/queryTable" Target="../queryTables/queryTable1008.xml"/><Relationship Id="rId50" Type="http://schemas.openxmlformats.org/officeDocument/2006/relationships/queryTable" Target="../queryTables/queryTable1024.xml"/><Relationship Id="rId55" Type="http://schemas.openxmlformats.org/officeDocument/2006/relationships/queryTable" Target="../queryTables/queryTable1029.xml"/><Relationship Id="rId76" Type="http://schemas.openxmlformats.org/officeDocument/2006/relationships/queryTable" Target="../queryTables/queryTable1050.xml"/><Relationship Id="rId97" Type="http://schemas.openxmlformats.org/officeDocument/2006/relationships/queryTable" Target="../queryTables/queryTable1071.xml"/><Relationship Id="rId104" Type="http://schemas.openxmlformats.org/officeDocument/2006/relationships/queryTable" Target="../queryTables/queryTable1078.xml"/><Relationship Id="rId120" Type="http://schemas.openxmlformats.org/officeDocument/2006/relationships/queryTable" Target="../queryTables/queryTable1094.xml"/><Relationship Id="rId125" Type="http://schemas.openxmlformats.org/officeDocument/2006/relationships/queryTable" Target="../queryTables/queryTable1099.xml"/><Relationship Id="rId141" Type="http://schemas.openxmlformats.org/officeDocument/2006/relationships/queryTable" Target="../queryTables/queryTable1115.xml"/><Relationship Id="rId146" Type="http://schemas.openxmlformats.org/officeDocument/2006/relationships/queryTable" Target="../queryTables/queryTable1120.xml"/><Relationship Id="rId7" Type="http://schemas.openxmlformats.org/officeDocument/2006/relationships/queryTable" Target="../queryTables/queryTable981.xml"/><Relationship Id="rId71" Type="http://schemas.openxmlformats.org/officeDocument/2006/relationships/queryTable" Target="../queryTables/queryTable1045.xml"/><Relationship Id="rId92" Type="http://schemas.openxmlformats.org/officeDocument/2006/relationships/queryTable" Target="../queryTables/queryTable1066.xml"/><Relationship Id="rId2" Type="http://schemas.openxmlformats.org/officeDocument/2006/relationships/drawing" Target="../drawings/drawing8.xml"/><Relationship Id="rId29" Type="http://schemas.openxmlformats.org/officeDocument/2006/relationships/queryTable" Target="../queryTables/queryTable1003.xml"/><Relationship Id="rId24" Type="http://schemas.openxmlformats.org/officeDocument/2006/relationships/queryTable" Target="../queryTables/queryTable998.xml"/><Relationship Id="rId40" Type="http://schemas.openxmlformats.org/officeDocument/2006/relationships/queryTable" Target="../queryTables/queryTable1014.xml"/><Relationship Id="rId45" Type="http://schemas.openxmlformats.org/officeDocument/2006/relationships/queryTable" Target="../queryTables/queryTable1019.xml"/><Relationship Id="rId66" Type="http://schemas.openxmlformats.org/officeDocument/2006/relationships/queryTable" Target="../queryTables/queryTable1040.xml"/><Relationship Id="rId87" Type="http://schemas.openxmlformats.org/officeDocument/2006/relationships/queryTable" Target="../queryTables/queryTable1061.xml"/><Relationship Id="rId110" Type="http://schemas.openxmlformats.org/officeDocument/2006/relationships/queryTable" Target="../queryTables/queryTable1084.xml"/><Relationship Id="rId115" Type="http://schemas.openxmlformats.org/officeDocument/2006/relationships/queryTable" Target="../queryTables/queryTable1089.xml"/><Relationship Id="rId131" Type="http://schemas.openxmlformats.org/officeDocument/2006/relationships/queryTable" Target="../queryTables/queryTable1105.xml"/><Relationship Id="rId136" Type="http://schemas.openxmlformats.org/officeDocument/2006/relationships/queryTable" Target="../queryTables/queryTable1110.xml"/><Relationship Id="rId61" Type="http://schemas.openxmlformats.org/officeDocument/2006/relationships/queryTable" Target="../queryTables/queryTable1035.xml"/><Relationship Id="rId82" Type="http://schemas.openxmlformats.org/officeDocument/2006/relationships/queryTable" Target="../queryTables/queryTable1056.xml"/><Relationship Id="rId19" Type="http://schemas.openxmlformats.org/officeDocument/2006/relationships/queryTable" Target="../queryTables/queryTable993.xml"/><Relationship Id="rId14" Type="http://schemas.openxmlformats.org/officeDocument/2006/relationships/queryTable" Target="../queryTables/queryTable988.xml"/><Relationship Id="rId30" Type="http://schemas.openxmlformats.org/officeDocument/2006/relationships/queryTable" Target="../queryTables/queryTable1004.xml"/><Relationship Id="rId35" Type="http://schemas.openxmlformats.org/officeDocument/2006/relationships/queryTable" Target="../queryTables/queryTable1009.xml"/><Relationship Id="rId56" Type="http://schemas.openxmlformats.org/officeDocument/2006/relationships/queryTable" Target="../queryTables/queryTable1030.xml"/><Relationship Id="rId77" Type="http://schemas.openxmlformats.org/officeDocument/2006/relationships/queryTable" Target="../queryTables/queryTable1051.xml"/><Relationship Id="rId100" Type="http://schemas.openxmlformats.org/officeDocument/2006/relationships/queryTable" Target="../queryTables/queryTable1074.xml"/><Relationship Id="rId105" Type="http://schemas.openxmlformats.org/officeDocument/2006/relationships/queryTable" Target="../queryTables/queryTable1079.xml"/><Relationship Id="rId126" Type="http://schemas.openxmlformats.org/officeDocument/2006/relationships/queryTable" Target="../queryTables/queryTable1100.xml"/><Relationship Id="rId147" Type="http://schemas.openxmlformats.org/officeDocument/2006/relationships/queryTable" Target="../queryTables/queryTable1121.xml"/><Relationship Id="rId8" Type="http://schemas.openxmlformats.org/officeDocument/2006/relationships/queryTable" Target="../queryTables/queryTable982.xml"/><Relationship Id="rId51" Type="http://schemas.openxmlformats.org/officeDocument/2006/relationships/queryTable" Target="../queryTables/queryTable1025.xml"/><Relationship Id="rId72" Type="http://schemas.openxmlformats.org/officeDocument/2006/relationships/queryTable" Target="../queryTables/queryTable1046.xml"/><Relationship Id="rId93" Type="http://schemas.openxmlformats.org/officeDocument/2006/relationships/queryTable" Target="../queryTables/queryTable1067.xml"/><Relationship Id="rId98" Type="http://schemas.openxmlformats.org/officeDocument/2006/relationships/queryTable" Target="../queryTables/queryTable1072.xml"/><Relationship Id="rId121" Type="http://schemas.openxmlformats.org/officeDocument/2006/relationships/queryTable" Target="../queryTables/queryTable1095.xml"/><Relationship Id="rId142" Type="http://schemas.openxmlformats.org/officeDocument/2006/relationships/queryTable" Target="../queryTables/queryTable1116.xml"/><Relationship Id="rId3" Type="http://schemas.openxmlformats.org/officeDocument/2006/relationships/vmlDrawing" Target="../drawings/vmlDrawing8.vml"/><Relationship Id="rId25" Type="http://schemas.openxmlformats.org/officeDocument/2006/relationships/queryTable" Target="../queryTables/queryTable999.xml"/><Relationship Id="rId46" Type="http://schemas.openxmlformats.org/officeDocument/2006/relationships/queryTable" Target="../queryTables/queryTable1020.xml"/><Relationship Id="rId67" Type="http://schemas.openxmlformats.org/officeDocument/2006/relationships/queryTable" Target="../queryTables/queryTable1041.xml"/><Relationship Id="rId116" Type="http://schemas.openxmlformats.org/officeDocument/2006/relationships/queryTable" Target="../queryTables/queryTable1090.xml"/><Relationship Id="rId137" Type="http://schemas.openxmlformats.org/officeDocument/2006/relationships/queryTable" Target="../queryTables/queryTable1111.xml"/><Relationship Id="rId20" Type="http://schemas.openxmlformats.org/officeDocument/2006/relationships/queryTable" Target="../queryTables/queryTable994.xml"/><Relationship Id="rId41" Type="http://schemas.openxmlformats.org/officeDocument/2006/relationships/queryTable" Target="../queryTables/queryTable1015.xml"/><Relationship Id="rId62" Type="http://schemas.openxmlformats.org/officeDocument/2006/relationships/queryTable" Target="../queryTables/queryTable1036.xml"/><Relationship Id="rId83" Type="http://schemas.openxmlformats.org/officeDocument/2006/relationships/queryTable" Target="../queryTables/queryTable1057.xml"/><Relationship Id="rId88" Type="http://schemas.openxmlformats.org/officeDocument/2006/relationships/queryTable" Target="../queryTables/queryTable1062.xml"/><Relationship Id="rId111" Type="http://schemas.openxmlformats.org/officeDocument/2006/relationships/queryTable" Target="../queryTables/queryTable1085.xml"/><Relationship Id="rId132" Type="http://schemas.openxmlformats.org/officeDocument/2006/relationships/queryTable" Target="../queryTables/queryTable1106.xml"/><Relationship Id="rId15" Type="http://schemas.openxmlformats.org/officeDocument/2006/relationships/queryTable" Target="../queryTables/queryTable989.xml"/><Relationship Id="rId36" Type="http://schemas.openxmlformats.org/officeDocument/2006/relationships/queryTable" Target="../queryTables/queryTable1010.xml"/><Relationship Id="rId57" Type="http://schemas.openxmlformats.org/officeDocument/2006/relationships/queryTable" Target="../queryTables/queryTable1031.xml"/><Relationship Id="rId106" Type="http://schemas.openxmlformats.org/officeDocument/2006/relationships/queryTable" Target="../queryTables/queryTable1080.xml"/><Relationship Id="rId127" Type="http://schemas.openxmlformats.org/officeDocument/2006/relationships/queryTable" Target="../queryTables/queryTable1101.xml"/><Relationship Id="rId10" Type="http://schemas.openxmlformats.org/officeDocument/2006/relationships/queryTable" Target="../queryTables/queryTable984.xml"/><Relationship Id="rId31" Type="http://schemas.openxmlformats.org/officeDocument/2006/relationships/queryTable" Target="../queryTables/queryTable1005.xml"/><Relationship Id="rId52" Type="http://schemas.openxmlformats.org/officeDocument/2006/relationships/queryTable" Target="../queryTables/queryTable1026.xml"/><Relationship Id="rId73" Type="http://schemas.openxmlformats.org/officeDocument/2006/relationships/queryTable" Target="../queryTables/queryTable1047.xml"/><Relationship Id="rId78" Type="http://schemas.openxmlformats.org/officeDocument/2006/relationships/queryTable" Target="../queryTables/queryTable1052.xml"/><Relationship Id="rId94" Type="http://schemas.openxmlformats.org/officeDocument/2006/relationships/queryTable" Target="../queryTables/queryTable1068.xml"/><Relationship Id="rId99" Type="http://schemas.openxmlformats.org/officeDocument/2006/relationships/queryTable" Target="../queryTables/queryTable1073.xml"/><Relationship Id="rId101" Type="http://schemas.openxmlformats.org/officeDocument/2006/relationships/queryTable" Target="../queryTables/queryTable1075.xml"/><Relationship Id="rId122" Type="http://schemas.openxmlformats.org/officeDocument/2006/relationships/queryTable" Target="../queryTables/queryTable1096.xml"/><Relationship Id="rId143" Type="http://schemas.openxmlformats.org/officeDocument/2006/relationships/queryTable" Target="../queryTables/queryTable1117.xml"/><Relationship Id="rId148" Type="http://schemas.openxmlformats.org/officeDocument/2006/relationships/queryTable" Target="../queryTables/queryTable1122.xml"/><Relationship Id="rId4" Type="http://schemas.openxmlformats.org/officeDocument/2006/relationships/control" Target="../activeX/activeX8.xml"/><Relationship Id="rId9" Type="http://schemas.openxmlformats.org/officeDocument/2006/relationships/queryTable" Target="../queryTables/queryTable983.xml"/><Relationship Id="rId26" Type="http://schemas.openxmlformats.org/officeDocument/2006/relationships/queryTable" Target="../queryTables/queryTable1000.xml"/><Relationship Id="rId47" Type="http://schemas.openxmlformats.org/officeDocument/2006/relationships/queryTable" Target="../queryTables/queryTable1021.xml"/><Relationship Id="rId68" Type="http://schemas.openxmlformats.org/officeDocument/2006/relationships/queryTable" Target="../queryTables/queryTable1042.xml"/><Relationship Id="rId89" Type="http://schemas.openxmlformats.org/officeDocument/2006/relationships/queryTable" Target="../queryTables/queryTable1063.xml"/><Relationship Id="rId112" Type="http://schemas.openxmlformats.org/officeDocument/2006/relationships/queryTable" Target="../queryTables/queryTable1086.xml"/><Relationship Id="rId133" Type="http://schemas.openxmlformats.org/officeDocument/2006/relationships/queryTable" Target="../queryTables/queryTable1107.xml"/><Relationship Id="rId16" Type="http://schemas.openxmlformats.org/officeDocument/2006/relationships/queryTable" Target="../queryTables/queryTable990.xml"/><Relationship Id="rId37" Type="http://schemas.openxmlformats.org/officeDocument/2006/relationships/queryTable" Target="../queryTables/queryTable1011.xml"/><Relationship Id="rId58" Type="http://schemas.openxmlformats.org/officeDocument/2006/relationships/queryTable" Target="../queryTables/queryTable1032.xml"/><Relationship Id="rId79" Type="http://schemas.openxmlformats.org/officeDocument/2006/relationships/queryTable" Target="../queryTables/queryTable1053.xml"/><Relationship Id="rId102" Type="http://schemas.openxmlformats.org/officeDocument/2006/relationships/queryTable" Target="../queryTables/queryTable1076.xml"/><Relationship Id="rId123" Type="http://schemas.openxmlformats.org/officeDocument/2006/relationships/queryTable" Target="../queryTables/queryTable1097.xml"/><Relationship Id="rId144" Type="http://schemas.openxmlformats.org/officeDocument/2006/relationships/queryTable" Target="../queryTables/queryTable1118.xml"/><Relationship Id="rId90" Type="http://schemas.openxmlformats.org/officeDocument/2006/relationships/queryTable" Target="../queryTables/queryTable1064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236.xml"/><Relationship Id="rId21" Type="http://schemas.openxmlformats.org/officeDocument/2006/relationships/queryTable" Target="../queryTables/queryTable1140.xml"/><Relationship Id="rId42" Type="http://schemas.openxmlformats.org/officeDocument/2006/relationships/queryTable" Target="../queryTables/queryTable1161.xml"/><Relationship Id="rId63" Type="http://schemas.openxmlformats.org/officeDocument/2006/relationships/queryTable" Target="../queryTables/queryTable1182.xml"/><Relationship Id="rId84" Type="http://schemas.openxmlformats.org/officeDocument/2006/relationships/queryTable" Target="../queryTables/queryTable1203.xml"/><Relationship Id="rId138" Type="http://schemas.openxmlformats.org/officeDocument/2006/relationships/queryTable" Target="../queryTables/queryTable1257.xml"/><Relationship Id="rId107" Type="http://schemas.openxmlformats.org/officeDocument/2006/relationships/queryTable" Target="../queryTables/queryTable1226.xml"/><Relationship Id="rId11" Type="http://schemas.openxmlformats.org/officeDocument/2006/relationships/queryTable" Target="../queryTables/queryTable1130.xml"/><Relationship Id="rId32" Type="http://schemas.openxmlformats.org/officeDocument/2006/relationships/queryTable" Target="../queryTables/queryTable1151.xml"/><Relationship Id="rId53" Type="http://schemas.openxmlformats.org/officeDocument/2006/relationships/queryTable" Target="../queryTables/queryTable1172.xml"/><Relationship Id="rId74" Type="http://schemas.openxmlformats.org/officeDocument/2006/relationships/queryTable" Target="../queryTables/queryTable1193.xml"/><Relationship Id="rId128" Type="http://schemas.openxmlformats.org/officeDocument/2006/relationships/queryTable" Target="../queryTables/queryTable1247.xml"/><Relationship Id="rId149" Type="http://schemas.openxmlformats.org/officeDocument/2006/relationships/queryTable" Target="../queryTables/queryTable1268.xml"/><Relationship Id="rId5" Type="http://schemas.openxmlformats.org/officeDocument/2006/relationships/image" Target="../media/image9.emf"/><Relationship Id="rId95" Type="http://schemas.openxmlformats.org/officeDocument/2006/relationships/queryTable" Target="../queryTables/queryTable1214.xml"/><Relationship Id="rId22" Type="http://schemas.openxmlformats.org/officeDocument/2006/relationships/queryTable" Target="../queryTables/queryTable1141.xml"/><Relationship Id="rId27" Type="http://schemas.openxmlformats.org/officeDocument/2006/relationships/queryTable" Target="../queryTables/queryTable1146.xml"/><Relationship Id="rId43" Type="http://schemas.openxmlformats.org/officeDocument/2006/relationships/queryTable" Target="../queryTables/queryTable1162.xml"/><Relationship Id="rId48" Type="http://schemas.openxmlformats.org/officeDocument/2006/relationships/queryTable" Target="../queryTables/queryTable1167.xml"/><Relationship Id="rId64" Type="http://schemas.openxmlformats.org/officeDocument/2006/relationships/queryTable" Target="../queryTables/queryTable1183.xml"/><Relationship Id="rId69" Type="http://schemas.openxmlformats.org/officeDocument/2006/relationships/queryTable" Target="../queryTables/queryTable1188.xml"/><Relationship Id="rId113" Type="http://schemas.openxmlformats.org/officeDocument/2006/relationships/queryTable" Target="../queryTables/queryTable1232.xml"/><Relationship Id="rId118" Type="http://schemas.openxmlformats.org/officeDocument/2006/relationships/queryTable" Target="../queryTables/queryTable1237.xml"/><Relationship Id="rId134" Type="http://schemas.openxmlformats.org/officeDocument/2006/relationships/queryTable" Target="../queryTables/queryTable1253.xml"/><Relationship Id="rId139" Type="http://schemas.openxmlformats.org/officeDocument/2006/relationships/queryTable" Target="../queryTables/queryTable1258.xml"/><Relationship Id="rId80" Type="http://schemas.openxmlformats.org/officeDocument/2006/relationships/queryTable" Target="../queryTables/queryTable1199.xml"/><Relationship Id="rId85" Type="http://schemas.openxmlformats.org/officeDocument/2006/relationships/queryTable" Target="../queryTables/queryTable1204.xml"/><Relationship Id="rId150" Type="http://schemas.openxmlformats.org/officeDocument/2006/relationships/queryTable" Target="../queryTables/queryTable1269.xml"/><Relationship Id="rId12" Type="http://schemas.openxmlformats.org/officeDocument/2006/relationships/queryTable" Target="../queryTables/queryTable1131.xml"/><Relationship Id="rId17" Type="http://schemas.openxmlformats.org/officeDocument/2006/relationships/queryTable" Target="../queryTables/queryTable1136.xml"/><Relationship Id="rId33" Type="http://schemas.openxmlformats.org/officeDocument/2006/relationships/queryTable" Target="../queryTables/queryTable1152.xml"/><Relationship Id="rId38" Type="http://schemas.openxmlformats.org/officeDocument/2006/relationships/queryTable" Target="../queryTables/queryTable1157.xml"/><Relationship Id="rId59" Type="http://schemas.openxmlformats.org/officeDocument/2006/relationships/queryTable" Target="../queryTables/queryTable1178.xml"/><Relationship Id="rId103" Type="http://schemas.openxmlformats.org/officeDocument/2006/relationships/queryTable" Target="../queryTables/queryTable1222.xml"/><Relationship Id="rId108" Type="http://schemas.openxmlformats.org/officeDocument/2006/relationships/queryTable" Target="../queryTables/queryTable1227.xml"/><Relationship Id="rId124" Type="http://schemas.openxmlformats.org/officeDocument/2006/relationships/queryTable" Target="../queryTables/queryTable1243.xml"/><Relationship Id="rId129" Type="http://schemas.openxmlformats.org/officeDocument/2006/relationships/queryTable" Target="../queryTables/queryTable1248.xml"/><Relationship Id="rId54" Type="http://schemas.openxmlformats.org/officeDocument/2006/relationships/queryTable" Target="../queryTables/queryTable1173.xml"/><Relationship Id="rId70" Type="http://schemas.openxmlformats.org/officeDocument/2006/relationships/queryTable" Target="../queryTables/queryTable1189.xml"/><Relationship Id="rId75" Type="http://schemas.openxmlformats.org/officeDocument/2006/relationships/queryTable" Target="../queryTables/queryTable1194.xml"/><Relationship Id="rId91" Type="http://schemas.openxmlformats.org/officeDocument/2006/relationships/queryTable" Target="../queryTables/queryTable1210.xml"/><Relationship Id="rId96" Type="http://schemas.openxmlformats.org/officeDocument/2006/relationships/queryTable" Target="../queryTables/queryTable1215.xml"/><Relationship Id="rId140" Type="http://schemas.openxmlformats.org/officeDocument/2006/relationships/queryTable" Target="../queryTables/queryTable1259.xml"/><Relationship Id="rId145" Type="http://schemas.openxmlformats.org/officeDocument/2006/relationships/queryTable" Target="../queryTables/queryTable1264.xml"/><Relationship Id="rId1" Type="http://schemas.openxmlformats.org/officeDocument/2006/relationships/printerSettings" Target="../printerSettings/printerSettings10.bin"/><Relationship Id="rId6" Type="http://schemas.openxmlformats.org/officeDocument/2006/relationships/queryTable" Target="../queryTables/queryTable1125.xml"/><Relationship Id="rId23" Type="http://schemas.openxmlformats.org/officeDocument/2006/relationships/queryTable" Target="../queryTables/queryTable1142.xml"/><Relationship Id="rId28" Type="http://schemas.openxmlformats.org/officeDocument/2006/relationships/queryTable" Target="../queryTables/queryTable1147.xml"/><Relationship Id="rId49" Type="http://schemas.openxmlformats.org/officeDocument/2006/relationships/queryTable" Target="../queryTables/queryTable1168.xml"/><Relationship Id="rId114" Type="http://schemas.openxmlformats.org/officeDocument/2006/relationships/queryTable" Target="../queryTables/queryTable1233.xml"/><Relationship Id="rId119" Type="http://schemas.openxmlformats.org/officeDocument/2006/relationships/queryTable" Target="../queryTables/queryTable1238.xml"/><Relationship Id="rId44" Type="http://schemas.openxmlformats.org/officeDocument/2006/relationships/queryTable" Target="../queryTables/queryTable1163.xml"/><Relationship Id="rId60" Type="http://schemas.openxmlformats.org/officeDocument/2006/relationships/queryTable" Target="../queryTables/queryTable1179.xml"/><Relationship Id="rId65" Type="http://schemas.openxmlformats.org/officeDocument/2006/relationships/queryTable" Target="../queryTables/queryTable1184.xml"/><Relationship Id="rId81" Type="http://schemas.openxmlformats.org/officeDocument/2006/relationships/queryTable" Target="../queryTables/queryTable1200.xml"/><Relationship Id="rId86" Type="http://schemas.openxmlformats.org/officeDocument/2006/relationships/queryTable" Target="../queryTables/queryTable1205.xml"/><Relationship Id="rId130" Type="http://schemas.openxmlformats.org/officeDocument/2006/relationships/queryTable" Target="../queryTables/queryTable1249.xml"/><Relationship Id="rId135" Type="http://schemas.openxmlformats.org/officeDocument/2006/relationships/queryTable" Target="../queryTables/queryTable1254.xml"/><Relationship Id="rId151" Type="http://schemas.openxmlformats.org/officeDocument/2006/relationships/queryTable" Target="../queryTables/queryTable1270.xml"/><Relationship Id="rId13" Type="http://schemas.openxmlformats.org/officeDocument/2006/relationships/queryTable" Target="../queryTables/queryTable1132.xml"/><Relationship Id="rId18" Type="http://schemas.openxmlformats.org/officeDocument/2006/relationships/queryTable" Target="../queryTables/queryTable1137.xml"/><Relationship Id="rId39" Type="http://schemas.openxmlformats.org/officeDocument/2006/relationships/queryTable" Target="../queryTables/queryTable1158.xml"/><Relationship Id="rId109" Type="http://schemas.openxmlformats.org/officeDocument/2006/relationships/queryTable" Target="../queryTables/queryTable1228.xml"/><Relationship Id="rId34" Type="http://schemas.openxmlformats.org/officeDocument/2006/relationships/queryTable" Target="../queryTables/queryTable1153.xml"/><Relationship Id="rId50" Type="http://schemas.openxmlformats.org/officeDocument/2006/relationships/queryTable" Target="../queryTables/queryTable1169.xml"/><Relationship Id="rId55" Type="http://schemas.openxmlformats.org/officeDocument/2006/relationships/queryTable" Target="../queryTables/queryTable1174.xml"/><Relationship Id="rId76" Type="http://schemas.openxmlformats.org/officeDocument/2006/relationships/queryTable" Target="../queryTables/queryTable1195.xml"/><Relationship Id="rId97" Type="http://schemas.openxmlformats.org/officeDocument/2006/relationships/queryTable" Target="../queryTables/queryTable1216.xml"/><Relationship Id="rId104" Type="http://schemas.openxmlformats.org/officeDocument/2006/relationships/queryTable" Target="../queryTables/queryTable1223.xml"/><Relationship Id="rId120" Type="http://schemas.openxmlformats.org/officeDocument/2006/relationships/queryTable" Target="../queryTables/queryTable1239.xml"/><Relationship Id="rId125" Type="http://schemas.openxmlformats.org/officeDocument/2006/relationships/queryTable" Target="../queryTables/queryTable1244.xml"/><Relationship Id="rId141" Type="http://schemas.openxmlformats.org/officeDocument/2006/relationships/queryTable" Target="../queryTables/queryTable1260.xml"/><Relationship Id="rId146" Type="http://schemas.openxmlformats.org/officeDocument/2006/relationships/queryTable" Target="../queryTables/queryTable1265.xml"/><Relationship Id="rId7" Type="http://schemas.openxmlformats.org/officeDocument/2006/relationships/queryTable" Target="../queryTables/queryTable1126.xml"/><Relationship Id="rId71" Type="http://schemas.openxmlformats.org/officeDocument/2006/relationships/queryTable" Target="../queryTables/queryTable1190.xml"/><Relationship Id="rId92" Type="http://schemas.openxmlformats.org/officeDocument/2006/relationships/queryTable" Target="../queryTables/queryTable1211.xml"/><Relationship Id="rId2" Type="http://schemas.openxmlformats.org/officeDocument/2006/relationships/drawing" Target="../drawings/drawing9.xml"/><Relationship Id="rId29" Type="http://schemas.openxmlformats.org/officeDocument/2006/relationships/queryTable" Target="../queryTables/queryTable1148.xml"/><Relationship Id="rId24" Type="http://schemas.openxmlformats.org/officeDocument/2006/relationships/queryTable" Target="../queryTables/queryTable1143.xml"/><Relationship Id="rId40" Type="http://schemas.openxmlformats.org/officeDocument/2006/relationships/queryTable" Target="../queryTables/queryTable1159.xml"/><Relationship Id="rId45" Type="http://schemas.openxmlformats.org/officeDocument/2006/relationships/queryTable" Target="../queryTables/queryTable1164.xml"/><Relationship Id="rId66" Type="http://schemas.openxmlformats.org/officeDocument/2006/relationships/queryTable" Target="../queryTables/queryTable1185.xml"/><Relationship Id="rId87" Type="http://schemas.openxmlformats.org/officeDocument/2006/relationships/queryTable" Target="../queryTables/queryTable1206.xml"/><Relationship Id="rId110" Type="http://schemas.openxmlformats.org/officeDocument/2006/relationships/queryTable" Target="../queryTables/queryTable1229.xml"/><Relationship Id="rId115" Type="http://schemas.openxmlformats.org/officeDocument/2006/relationships/queryTable" Target="../queryTables/queryTable1234.xml"/><Relationship Id="rId131" Type="http://schemas.openxmlformats.org/officeDocument/2006/relationships/queryTable" Target="../queryTables/queryTable1250.xml"/><Relationship Id="rId136" Type="http://schemas.openxmlformats.org/officeDocument/2006/relationships/queryTable" Target="../queryTables/queryTable1255.xml"/><Relationship Id="rId61" Type="http://schemas.openxmlformats.org/officeDocument/2006/relationships/queryTable" Target="../queryTables/queryTable1180.xml"/><Relationship Id="rId82" Type="http://schemas.openxmlformats.org/officeDocument/2006/relationships/queryTable" Target="../queryTables/queryTable1201.xml"/><Relationship Id="rId152" Type="http://schemas.openxmlformats.org/officeDocument/2006/relationships/queryTable" Target="../queryTables/queryTable1271.xml"/><Relationship Id="rId19" Type="http://schemas.openxmlformats.org/officeDocument/2006/relationships/queryTable" Target="../queryTables/queryTable1138.xml"/><Relationship Id="rId14" Type="http://schemas.openxmlformats.org/officeDocument/2006/relationships/queryTable" Target="../queryTables/queryTable1133.xml"/><Relationship Id="rId30" Type="http://schemas.openxmlformats.org/officeDocument/2006/relationships/queryTable" Target="../queryTables/queryTable1149.xml"/><Relationship Id="rId35" Type="http://schemas.openxmlformats.org/officeDocument/2006/relationships/queryTable" Target="../queryTables/queryTable1154.xml"/><Relationship Id="rId56" Type="http://schemas.openxmlformats.org/officeDocument/2006/relationships/queryTable" Target="../queryTables/queryTable1175.xml"/><Relationship Id="rId77" Type="http://schemas.openxmlformats.org/officeDocument/2006/relationships/queryTable" Target="../queryTables/queryTable1196.xml"/><Relationship Id="rId100" Type="http://schemas.openxmlformats.org/officeDocument/2006/relationships/queryTable" Target="../queryTables/queryTable1219.xml"/><Relationship Id="rId105" Type="http://schemas.openxmlformats.org/officeDocument/2006/relationships/queryTable" Target="../queryTables/queryTable1224.xml"/><Relationship Id="rId126" Type="http://schemas.openxmlformats.org/officeDocument/2006/relationships/queryTable" Target="../queryTables/queryTable1245.xml"/><Relationship Id="rId147" Type="http://schemas.openxmlformats.org/officeDocument/2006/relationships/queryTable" Target="../queryTables/queryTable1266.xml"/><Relationship Id="rId8" Type="http://schemas.openxmlformats.org/officeDocument/2006/relationships/queryTable" Target="../queryTables/queryTable1127.xml"/><Relationship Id="rId51" Type="http://schemas.openxmlformats.org/officeDocument/2006/relationships/queryTable" Target="../queryTables/queryTable1170.xml"/><Relationship Id="rId72" Type="http://schemas.openxmlformats.org/officeDocument/2006/relationships/queryTable" Target="../queryTables/queryTable1191.xml"/><Relationship Id="rId93" Type="http://schemas.openxmlformats.org/officeDocument/2006/relationships/queryTable" Target="../queryTables/queryTable1212.xml"/><Relationship Id="rId98" Type="http://schemas.openxmlformats.org/officeDocument/2006/relationships/queryTable" Target="../queryTables/queryTable1217.xml"/><Relationship Id="rId121" Type="http://schemas.openxmlformats.org/officeDocument/2006/relationships/queryTable" Target="../queryTables/queryTable1240.xml"/><Relationship Id="rId142" Type="http://schemas.openxmlformats.org/officeDocument/2006/relationships/queryTable" Target="../queryTables/queryTable1261.xml"/><Relationship Id="rId3" Type="http://schemas.openxmlformats.org/officeDocument/2006/relationships/vmlDrawing" Target="../drawings/vmlDrawing9.vml"/><Relationship Id="rId25" Type="http://schemas.openxmlformats.org/officeDocument/2006/relationships/queryTable" Target="../queryTables/queryTable1144.xml"/><Relationship Id="rId46" Type="http://schemas.openxmlformats.org/officeDocument/2006/relationships/queryTable" Target="../queryTables/queryTable1165.xml"/><Relationship Id="rId67" Type="http://schemas.openxmlformats.org/officeDocument/2006/relationships/queryTable" Target="../queryTables/queryTable1186.xml"/><Relationship Id="rId116" Type="http://schemas.openxmlformats.org/officeDocument/2006/relationships/queryTable" Target="../queryTables/queryTable1235.xml"/><Relationship Id="rId137" Type="http://schemas.openxmlformats.org/officeDocument/2006/relationships/queryTable" Target="../queryTables/queryTable1256.xml"/><Relationship Id="rId20" Type="http://schemas.openxmlformats.org/officeDocument/2006/relationships/queryTable" Target="../queryTables/queryTable1139.xml"/><Relationship Id="rId41" Type="http://schemas.openxmlformats.org/officeDocument/2006/relationships/queryTable" Target="../queryTables/queryTable1160.xml"/><Relationship Id="rId62" Type="http://schemas.openxmlformats.org/officeDocument/2006/relationships/queryTable" Target="../queryTables/queryTable1181.xml"/><Relationship Id="rId83" Type="http://schemas.openxmlformats.org/officeDocument/2006/relationships/queryTable" Target="../queryTables/queryTable1202.xml"/><Relationship Id="rId88" Type="http://schemas.openxmlformats.org/officeDocument/2006/relationships/queryTable" Target="../queryTables/queryTable1207.xml"/><Relationship Id="rId111" Type="http://schemas.openxmlformats.org/officeDocument/2006/relationships/queryTable" Target="../queryTables/queryTable1230.xml"/><Relationship Id="rId132" Type="http://schemas.openxmlformats.org/officeDocument/2006/relationships/queryTable" Target="../queryTables/queryTable1251.xml"/><Relationship Id="rId15" Type="http://schemas.openxmlformats.org/officeDocument/2006/relationships/queryTable" Target="../queryTables/queryTable1134.xml"/><Relationship Id="rId36" Type="http://schemas.openxmlformats.org/officeDocument/2006/relationships/queryTable" Target="../queryTables/queryTable1155.xml"/><Relationship Id="rId57" Type="http://schemas.openxmlformats.org/officeDocument/2006/relationships/queryTable" Target="../queryTables/queryTable1176.xml"/><Relationship Id="rId106" Type="http://schemas.openxmlformats.org/officeDocument/2006/relationships/queryTable" Target="../queryTables/queryTable1225.xml"/><Relationship Id="rId127" Type="http://schemas.openxmlformats.org/officeDocument/2006/relationships/queryTable" Target="../queryTables/queryTable1246.xml"/><Relationship Id="rId10" Type="http://schemas.openxmlformats.org/officeDocument/2006/relationships/queryTable" Target="../queryTables/queryTable1129.xml"/><Relationship Id="rId31" Type="http://schemas.openxmlformats.org/officeDocument/2006/relationships/queryTable" Target="../queryTables/queryTable1150.xml"/><Relationship Id="rId52" Type="http://schemas.openxmlformats.org/officeDocument/2006/relationships/queryTable" Target="../queryTables/queryTable1171.xml"/><Relationship Id="rId73" Type="http://schemas.openxmlformats.org/officeDocument/2006/relationships/queryTable" Target="../queryTables/queryTable1192.xml"/><Relationship Id="rId78" Type="http://schemas.openxmlformats.org/officeDocument/2006/relationships/queryTable" Target="../queryTables/queryTable1197.xml"/><Relationship Id="rId94" Type="http://schemas.openxmlformats.org/officeDocument/2006/relationships/queryTable" Target="../queryTables/queryTable1213.xml"/><Relationship Id="rId99" Type="http://schemas.openxmlformats.org/officeDocument/2006/relationships/queryTable" Target="../queryTables/queryTable1218.xml"/><Relationship Id="rId101" Type="http://schemas.openxmlformats.org/officeDocument/2006/relationships/queryTable" Target="../queryTables/queryTable1220.xml"/><Relationship Id="rId122" Type="http://schemas.openxmlformats.org/officeDocument/2006/relationships/queryTable" Target="../queryTables/queryTable1241.xml"/><Relationship Id="rId143" Type="http://schemas.openxmlformats.org/officeDocument/2006/relationships/queryTable" Target="../queryTables/queryTable1262.xml"/><Relationship Id="rId148" Type="http://schemas.openxmlformats.org/officeDocument/2006/relationships/queryTable" Target="../queryTables/queryTable1267.xml"/><Relationship Id="rId4" Type="http://schemas.openxmlformats.org/officeDocument/2006/relationships/control" Target="../activeX/activeX9.xml"/><Relationship Id="rId9" Type="http://schemas.openxmlformats.org/officeDocument/2006/relationships/queryTable" Target="../queryTables/queryTable1128.xml"/><Relationship Id="rId26" Type="http://schemas.openxmlformats.org/officeDocument/2006/relationships/queryTable" Target="../queryTables/queryTable1145.xml"/><Relationship Id="rId47" Type="http://schemas.openxmlformats.org/officeDocument/2006/relationships/queryTable" Target="../queryTables/queryTable1166.xml"/><Relationship Id="rId68" Type="http://schemas.openxmlformats.org/officeDocument/2006/relationships/queryTable" Target="../queryTables/queryTable1187.xml"/><Relationship Id="rId89" Type="http://schemas.openxmlformats.org/officeDocument/2006/relationships/queryTable" Target="../queryTables/queryTable1208.xml"/><Relationship Id="rId112" Type="http://schemas.openxmlformats.org/officeDocument/2006/relationships/queryTable" Target="../queryTables/queryTable1231.xml"/><Relationship Id="rId133" Type="http://schemas.openxmlformats.org/officeDocument/2006/relationships/queryTable" Target="../queryTables/queryTable1252.xml"/><Relationship Id="rId16" Type="http://schemas.openxmlformats.org/officeDocument/2006/relationships/queryTable" Target="../queryTables/queryTable1135.xml"/><Relationship Id="rId37" Type="http://schemas.openxmlformats.org/officeDocument/2006/relationships/queryTable" Target="../queryTables/queryTable1156.xml"/><Relationship Id="rId58" Type="http://schemas.openxmlformats.org/officeDocument/2006/relationships/queryTable" Target="../queryTables/queryTable1177.xml"/><Relationship Id="rId79" Type="http://schemas.openxmlformats.org/officeDocument/2006/relationships/queryTable" Target="../queryTables/queryTable1198.xml"/><Relationship Id="rId102" Type="http://schemas.openxmlformats.org/officeDocument/2006/relationships/queryTable" Target="../queryTables/queryTable1221.xml"/><Relationship Id="rId123" Type="http://schemas.openxmlformats.org/officeDocument/2006/relationships/queryTable" Target="../queryTables/queryTable1242.xml"/><Relationship Id="rId144" Type="http://schemas.openxmlformats.org/officeDocument/2006/relationships/queryTable" Target="../queryTables/queryTable1263.xml"/><Relationship Id="rId90" Type="http://schemas.openxmlformats.org/officeDocument/2006/relationships/queryTable" Target="../queryTables/queryTable1209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83.xml"/><Relationship Id="rId21" Type="http://schemas.openxmlformats.org/officeDocument/2006/relationships/queryTable" Target="../queryTables/queryTable1287.xml"/><Relationship Id="rId42" Type="http://schemas.openxmlformats.org/officeDocument/2006/relationships/queryTable" Target="../queryTables/queryTable1308.xml"/><Relationship Id="rId63" Type="http://schemas.openxmlformats.org/officeDocument/2006/relationships/queryTable" Target="../queryTables/queryTable1329.xml"/><Relationship Id="rId84" Type="http://schemas.openxmlformats.org/officeDocument/2006/relationships/queryTable" Target="../queryTables/queryTable1350.xml"/><Relationship Id="rId138" Type="http://schemas.openxmlformats.org/officeDocument/2006/relationships/queryTable" Target="../queryTables/queryTable1404.xml"/><Relationship Id="rId107" Type="http://schemas.openxmlformats.org/officeDocument/2006/relationships/queryTable" Target="../queryTables/queryTable1373.xml"/><Relationship Id="rId11" Type="http://schemas.openxmlformats.org/officeDocument/2006/relationships/queryTable" Target="../queryTables/queryTable1277.xml"/><Relationship Id="rId32" Type="http://schemas.openxmlformats.org/officeDocument/2006/relationships/queryTable" Target="../queryTables/queryTable1298.xml"/><Relationship Id="rId53" Type="http://schemas.openxmlformats.org/officeDocument/2006/relationships/queryTable" Target="../queryTables/queryTable1319.xml"/><Relationship Id="rId74" Type="http://schemas.openxmlformats.org/officeDocument/2006/relationships/queryTable" Target="../queryTables/queryTable1340.xml"/><Relationship Id="rId128" Type="http://schemas.openxmlformats.org/officeDocument/2006/relationships/queryTable" Target="../queryTables/queryTable1394.xml"/><Relationship Id="rId149" Type="http://schemas.openxmlformats.org/officeDocument/2006/relationships/queryTable" Target="../queryTables/queryTable1415.xml"/><Relationship Id="rId5" Type="http://schemas.openxmlformats.org/officeDocument/2006/relationships/image" Target="../media/image10.emf"/><Relationship Id="rId95" Type="http://schemas.openxmlformats.org/officeDocument/2006/relationships/queryTable" Target="../queryTables/queryTable1361.xml"/><Relationship Id="rId22" Type="http://schemas.openxmlformats.org/officeDocument/2006/relationships/queryTable" Target="../queryTables/queryTable1288.xml"/><Relationship Id="rId27" Type="http://schemas.openxmlformats.org/officeDocument/2006/relationships/queryTable" Target="../queryTables/queryTable1293.xml"/><Relationship Id="rId43" Type="http://schemas.openxmlformats.org/officeDocument/2006/relationships/queryTable" Target="../queryTables/queryTable1309.xml"/><Relationship Id="rId48" Type="http://schemas.openxmlformats.org/officeDocument/2006/relationships/queryTable" Target="../queryTables/queryTable1314.xml"/><Relationship Id="rId64" Type="http://schemas.openxmlformats.org/officeDocument/2006/relationships/queryTable" Target="../queryTables/queryTable1330.xml"/><Relationship Id="rId69" Type="http://schemas.openxmlformats.org/officeDocument/2006/relationships/queryTable" Target="../queryTables/queryTable1335.xml"/><Relationship Id="rId113" Type="http://schemas.openxmlformats.org/officeDocument/2006/relationships/queryTable" Target="../queryTables/queryTable1379.xml"/><Relationship Id="rId118" Type="http://schemas.openxmlformats.org/officeDocument/2006/relationships/queryTable" Target="../queryTables/queryTable1384.xml"/><Relationship Id="rId134" Type="http://schemas.openxmlformats.org/officeDocument/2006/relationships/queryTable" Target="../queryTables/queryTable1400.xml"/><Relationship Id="rId139" Type="http://schemas.openxmlformats.org/officeDocument/2006/relationships/queryTable" Target="../queryTables/queryTable1405.xml"/><Relationship Id="rId80" Type="http://schemas.openxmlformats.org/officeDocument/2006/relationships/queryTable" Target="../queryTables/queryTable1346.xml"/><Relationship Id="rId85" Type="http://schemas.openxmlformats.org/officeDocument/2006/relationships/queryTable" Target="../queryTables/queryTable1351.xml"/><Relationship Id="rId150" Type="http://schemas.openxmlformats.org/officeDocument/2006/relationships/queryTable" Target="../queryTables/queryTable1416.xml"/><Relationship Id="rId12" Type="http://schemas.openxmlformats.org/officeDocument/2006/relationships/queryTable" Target="../queryTables/queryTable1278.xml"/><Relationship Id="rId17" Type="http://schemas.openxmlformats.org/officeDocument/2006/relationships/queryTable" Target="../queryTables/queryTable1283.xml"/><Relationship Id="rId33" Type="http://schemas.openxmlformats.org/officeDocument/2006/relationships/queryTable" Target="../queryTables/queryTable1299.xml"/><Relationship Id="rId38" Type="http://schemas.openxmlformats.org/officeDocument/2006/relationships/queryTable" Target="../queryTables/queryTable1304.xml"/><Relationship Id="rId59" Type="http://schemas.openxmlformats.org/officeDocument/2006/relationships/queryTable" Target="../queryTables/queryTable1325.xml"/><Relationship Id="rId103" Type="http://schemas.openxmlformats.org/officeDocument/2006/relationships/queryTable" Target="../queryTables/queryTable1369.xml"/><Relationship Id="rId108" Type="http://schemas.openxmlformats.org/officeDocument/2006/relationships/queryTable" Target="../queryTables/queryTable1374.xml"/><Relationship Id="rId124" Type="http://schemas.openxmlformats.org/officeDocument/2006/relationships/queryTable" Target="../queryTables/queryTable1390.xml"/><Relationship Id="rId129" Type="http://schemas.openxmlformats.org/officeDocument/2006/relationships/queryTable" Target="../queryTables/queryTable1395.xml"/><Relationship Id="rId54" Type="http://schemas.openxmlformats.org/officeDocument/2006/relationships/queryTable" Target="../queryTables/queryTable1320.xml"/><Relationship Id="rId70" Type="http://schemas.openxmlformats.org/officeDocument/2006/relationships/queryTable" Target="../queryTables/queryTable1336.xml"/><Relationship Id="rId75" Type="http://schemas.openxmlformats.org/officeDocument/2006/relationships/queryTable" Target="../queryTables/queryTable1341.xml"/><Relationship Id="rId91" Type="http://schemas.openxmlformats.org/officeDocument/2006/relationships/queryTable" Target="../queryTables/queryTable1357.xml"/><Relationship Id="rId96" Type="http://schemas.openxmlformats.org/officeDocument/2006/relationships/queryTable" Target="../queryTables/queryTable1362.xml"/><Relationship Id="rId140" Type="http://schemas.openxmlformats.org/officeDocument/2006/relationships/queryTable" Target="../queryTables/queryTable1406.xml"/><Relationship Id="rId145" Type="http://schemas.openxmlformats.org/officeDocument/2006/relationships/queryTable" Target="../queryTables/queryTable1411.xml"/><Relationship Id="rId1" Type="http://schemas.openxmlformats.org/officeDocument/2006/relationships/printerSettings" Target="../printerSettings/printerSettings11.bin"/><Relationship Id="rId6" Type="http://schemas.openxmlformats.org/officeDocument/2006/relationships/queryTable" Target="../queryTables/queryTable1272.xml"/><Relationship Id="rId23" Type="http://schemas.openxmlformats.org/officeDocument/2006/relationships/queryTable" Target="../queryTables/queryTable1289.xml"/><Relationship Id="rId28" Type="http://schemas.openxmlformats.org/officeDocument/2006/relationships/queryTable" Target="../queryTables/queryTable1294.xml"/><Relationship Id="rId49" Type="http://schemas.openxmlformats.org/officeDocument/2006/relationships/queryTable" Target="../queryTables/queryTable1315.xml"/><Relationship Id="rId114" Type="http://schemas.openxmlformats.org/officeDocument/2006/relationships/queryTable" Target="../queryTables/queryTable1380.xml"/><Relationship Id="rId119" Type="http://schemas.openxmlformats.org/officeDocument/2006/relationships/queryTable" Target="../queryTables/queryTable1385.xml"/><Relationship Id="rId44" Type="http://schemas.openxmlformats.org/officeDocument/2006/relationships/queryTable" Target="../queryTables/queryTable1310.xml"/><Relationship Id="rId60" Type="http://schemas.openxmlformats.org/officeDocument/2006/relationships/queryTable" Target="../queryTables/queryTable1326.xml"/><Relationship Id="rId65" Type="http://schemas.openxmlformats.org/officeDocument/2006/relationships/queryTable" Target="../queryTables/queryTable1331.xml"/><Relationship Id="rId81" Type="http://schemas.openxmlformats.org/officeDocument/2006/relationships/queryTable" Target="../queryTables/queryTable1347.xml"/><Relationship Id="rId86" Type="http://schemas.openxmlformats.org/officeDocument/2006/relationships/queryTable" Target="../queryTables/queryTable1352.xml"/><Relationship Id="rId130" Type="http://schemas.openxmlformats.org/officeDocument/2006/relationships/queryTable" Target="../queryTables/queryTable1396.xml"/><Relationship Id="rId135" Type="http://schemas.openxmlformats.org/officeDocument/2006/relationships/queryTable" Target="../queryTables/queryTable1401.xml"/><Relationship Id="rId151" Type="http://schemas.openxmlformats.org/officeDocument/2006/relationships/queryTable" Target="../queryTables/queryTable1417.xml"/><Relationship Id="rId13" Type="http://schemas.openxmlformats.org/officeDocument/2006/relationships/queryTable" Target="../queryTables/queryTable1279.xml"/><Relationship Id="rId18" Type="http://schemas.openxmlformats.org/officeDocument/2006/relationships/queryTable" Target="../queryTables/queryTable1284.xml"/><Relationship Id="rId39" Type="http://schemas.openxmlformats.org/officeDocument/2006/relationships/queryTable" Target="../queryTables/queryTable1305.xml"/><Relationship Id="rId109" Type="http://schemas.openxmlformats.org/officeDocument/2006/relationships/queryTable" Target="../queryTables/queryTable1375.xml"/><Relationship Id="rId34" Type="http://schemas.openxmlformats.org/officeDocument/2006/relationships/queryTable" Target="../queryTables/queryTable1300.xml"/><Relationship Id="rId50" Type="http://schemas.openxmlformats.org/officeDocument/2006/relationships/queryTable" Target="../queryTables/queryTable1316.xml"/><Relationship Id="rId55" Type="http://schemas.openxmlformats.org/officeDocument/2006/relationships/queryTable" Target="../queryTables/queryTable1321.xml"/><Relationship Id="rId76" Type="http://schemas.openxmlformats.org/officeDocument/2006/relationships/queryTable" Target="../queryTables/queryTable1342.xml"/><Relationship Id="rId97" Type="http://schemas.openxmlformats.org/officeDocument/2006/relationships/queryTable" Target="../queryTables/queryTable1363.xml"/><Relationship Id="rId104" Type="http://schemas.openxmlformats.org/officeDocument/2006/relationships/queryTable" Target="../queryTables/queryTable1370.xml"/><Relationship Id="rId120" Type="http://schemas.openxmlformats.org/officeDocument/2006/relationships/queryTable" Target="../queryTables/queryTable1386.xml"/><Relationship Id="rId125" Type="http://schemas.openxmlformats.org/officeDocument/2006/relationships/queryTable" Target="../queryTables/queryTable1391.xml"/><Relationship Id="rId141" Type="http://schemas.openxmlformats.org/officeDocument/2006/relationships/queryTable" Target="../queryTables/queryTable1407.xml"/><Relationship Id="rId146" Type="http://schemas.openxmlformats.org/officeDocument/2006/relationships/queryTable" Target="../queryTables/queryTable1412.xml"/><Relationship Id="rId7" Type="http://schemas.openxmlformats.org/officeDocument/2006/relationships/queryTable" Target="../queryTables/queryTable1273.xml"/><Relationship Id="rId71" Type="http://schemas.openxmlformats.org/officeDocument/2006/relationships/queryTable" Target="../queryTables/queryTable1337.xml"/><Relationship Id="rId92" Type="http://schemas.openxmlformats.org/officeDocument/2006/relationships/queryTable" Target="../queryTables/queryTable1358.xml"/><Relationship Id="rId2" Type="http://schemas.openxmlformats.org/officeDocument/2006/relationships/drawing" Target="../drawings/drawing10.xml"/><Relationship Id="rId29" Type="http://schemas.openxmlformats.org/officeDocument/2006/relationships/queryTable" Target="../queryTables/queryTable1295.xml"/><Relationship Id="rId24" Type="http://schemas.openxmlformats.org/officeDocument/2006/relationships/queryTable" Target="../queryTables/queryTable1290.xml"/><Relationship Id="rId40" Type="http://schemas.openxmlformats.org/officeDocument/2006/relationships/queryTable" Target="../queryTables/queryTable1306.xml"/><Relationship Id="rId45" Type="http://schemas.openxmlformats.org/officeDocument/2006/relationships/queryTable" Target="../queryTables/queryTable1311.xml"/><Relationship Id="rId66" Type="http://schemas.openxmlformats.org/officeDocument/2006/relationships/queryTable" Target="../queryTables/queryTable1332.xml"/><Relationship Id="rId87" Type="http://schemas.openxmlformats.org/officeDocument/2006/relationships/queryTable" Target="../queryTables/queryTable1353.xml"/><Relationship Id="rId110" Type="http://schemas.openxmlformats.org/officeDocument/2006/relationships/queryTable" Target="../queryTables/queryTable1376.xml"/><Relationship Id="rId115" Type="http://schemas.openxmlformats.org/officeDocument/2006/relationships/queryTable" Target="../queryTables/queryTable1381.xml"/><Relationship Id="rId131" Type="http://schemas.openxmlformats.org/officeDocument/2006/relationships/queryTable" Target="../queryTables/queryTable1397.xml"/><Relationship Id="rId136" Type="http://schemas.openxmlformats.org/officeDocument/2006/relationships/queryTable" Target="../queryTables/queryTable1402.xml"/><Relationship Id="rId61" Type="http://schemas.openxmlformats.org/officeDocument/2006/relationships/queryTable" Target="../queryTables/queryTable1327.xml"/><Relationship Id="rId82" Type="http://schemas.openxmlformats.org/officeDocument/2006/relationships/queryTable" Target="../queryTables/queryTable1348.xml"/><Relationship Id="rId152" Type="http://schemas.openxmlformats.org/officeDocument/2006/relationships/queryTable" Target="../queryTables/queryTable1418.xml"/><Relationship Id="rId19" Type="http://schemas.openxmlformats.org/officeDocument/2006/relationships/queryTable" Target="../queryTables/queryTable1285.xml"/><Relationship Id="rId14" Type="http://schemas.openxmlformats.org/officeDocument/2006/relationships/queryTable" Target="../queryTables/queryTable1280.xml"/><Relationship Id="rId30" Type="http://schemas.openxmlformats.org/officeDocument/2006/relationships/queryTable" Target="../queryTables/queryTable1296.xml"/><Relationship Id="rId35" Type="http://schemas.openxmlformats.org/officeDocument/2006/relationships/queryTable" Target="../queryTables/queryTable1301.xml"/><Relationship Id="rId56" Type="http://schemas.openxmlformats.org/officeDocument/2006/relationships/queryTable" Target="../queryTables/queryTable1322.xml"/><Relationship Id="rId77" Type="http://schemas.openxmlformats.org/officeDocument/2006/relationships/queryTable" Target="../queryTables/queryTable1343.xml"/><Relationship Id="rId100" Type="http://schemas.openxmlformats.org/officeDocument/2006/relationships/queryTable" Target="../queryTables/queryTable1366.xml"/><Relationship Id="rId105" Type="http://schemas.openxmlformats.org/officeDocument/2006/relationships/queryTable" Target="../queryTables/queryTable1371.xml"/><Relationship Id="rId126" Type="http://schemas.openxmlformats.org/officeDocument/2006/relationships/queryTable" Target="../queryTables/queryTable1392.xml"/><Relationship Id="rId147" Type="http://schemas.openxmlformats.org/officeDocument/2006/relationships/queryTable" Target="../queryTables/queryTable1413.xml"/><Relationship Id="rId8" Type="http://schemas.openxmlformats.org/officeDocument/2006/relationships/queryTable" Target="../queryTables/queryTable1274.xml"/><Relationship Id="rId51" Type="http://schemas.openxmlformats.org/officeDocument/2006/relationships/queryTable" Target="../queryTables/queryTable1317.xml"/><Relationship Id="rId72" Type="http://schemas.openxmlformats.org/officeDocument/2006/relationships/queryTable" Target="../queryTables/queryTable1338.xml"/><Relationship Id="rId93" Type="http://schemas.openxmlformats.org/officeDocument/2006/relationships/queryTable" Target="../queryTables/queryTable1359.xml"/><Relationship Id="rId98" Type="http://schemas.openxmlformats.org/officeDocument/2006/relationships/queryTable" Target="../queryTables/queryTable1364.xml"/><Relationship Id="rId121" Type="http://schemas.openxmlformats.org/officeDocument/2006/relationships/queryTable" Target="../queryTables/queryTable1387.xml"/><Relationship Id="rId142" Type="http://schemas.openxmlformats.org/officeDocument/2006/relationships/queryTable" Target="../queryTables/queryTable1408.xml"/><Relationship Id="rId3" Type="http://schemas.openxmlformats.org/officeDocument/2006/relationships/vmlDrawing" Target="../drawings/vmlDrawing10.vml"/><Relationship Id="rId25" Type="http://schemas.openxmlformats.org/officeDocument/2006/relationships/queryTable" Target="../queryTables/queryTable1291.xml"/><Relationship Id="rId46" Type="http://schemas.openxmlformats.org/officeDocument/2006/relationships/queryTable" Target="../queryTables/queryTable1312.xml"/><Relationship Id="rId67" Type="http://schemas.openxmlformats.org/officeDocument/2006/relationships/queryTable" Target="../queryTables/queryTable1333.xml"/><Relationship Id="rId116" Type="http://schemas.openxmlformats.org/officeDocument/2006/relationships/queryTable" Target="../queryTables/queryTable1382.xml"/><Relationship Id="rId137" Type="http://schemas.openxmlformats.org/officeDocument/2006/relationships/queryTable" Target="../queryTables/queryTable1403.xml"/><Relationship Id="rId20" Type="http://schemas.openxmlformats.org/officeDocument/2006/relationships/queryTable" Target="../queryTables/queryTable1286.xml"/><Relationship Id="rId41" Type="http://schemas.openxmlformats.org/officeDocument/2006/relationships/queryTable" Target="../queryTables/queryTable1307.xml"/><Relationship Id="rId62" Type="http://schemas.openxmlformats.org/officeDocument/2006/relationships/queryTable" Target="../queryTables/queryTable1328.xml"/><Relationship Id="rId83" Type="http://schemas.openxmlformats.org/officeDocument/2006/relationships/queryTable" Target="../queryTables/queryTable1349.xml"/><Relationship Id="rId88" Type="http://schemas.openxmlformats.org/officeDocument/2006/relationships/queryTable" Target="../queryTables/queryTable1354.xml"/><Relationship Id="rId111" Type="http://schemas.openxmlformats.org/officeDocument/2006/relationships/queryTable" Target="../queryTables/queryTable1377.xml"/><Relationship Id="rId132" Type="http://schemas.openxmlformats.org/officeDocument/2006/relationships/queryTable" Target="../queryTables/queryTable1398.xml"/><Relationship Id="rId153" Type="http://schemas.openxmlformats.org/officeDocument/2006/relationships/queryTable" Target="../queryTables/queryTable1419.xml"/><Relationship Id="rId15" Type="http://schemas.openxmlformats.org/officeDocument/2006/relationships/queryTable" Target="../queryTables/queryTable1281.xml"/><Relationship Id="rId36" Type="http://schemas.openxmlformats.org/officeDocument/2006/relationships/queryTable" Target="../queryTables/queryTable1302.xml"/><Relationship Id="rId57" Type="http://schemas.openxmlformats.org/officeDocument/2006/relationships/queryTable" Target="../queryTables/queryTable1323.xml"/><Relationship Id="rId106" Type="http://schemas.openxmlformats.org/officeDocument/2006/relationships/queryTable" Target="../queryTables/queryTable1372.xml"/><Relationship Id="rId127" Type="http://schemas.openxmlformats.org/officeDocument/2006/relationships/queryTable" Target="../queryTables/queryTable1393.xml"/><Relationship Id="rId10" Type="http://schemas.openxmlformats.org/officeDocument/2006/relationships/queryTable" Target="../queryTables/queryTable1276.xml"/><Relationship Id="rId31" Type="http://schemas.openxmlformats.org/officeDocument/2006/relationships/queryTable" Target="../queryTables/queryTable1297.xml"/><Relationship Id="rId52" Type="http://schemas.openxmlformats.org/officeDocument/2006/relationships/queryTable" Target="../queryTables/queryTable1318.xml"/><Relationship Id="rId73" Type="http://schemas.openxmlformats.org/officeDocument/2006/relationships/queryTable" Target="../queryTables/queryTable1339.xml"/><Relationship Id="rId78" Type="http://schemas.openxmlformats.org/officeDocument/2006/relationships/queryTable" Target="../queryTables/queryTable1344.xml"/><Relationship Id="rId94" Type="http://schemas.openxmlformats.org/officeDocument/2006/relationships/queryTable" Target="../queryTables/queryTable1360.xml"/><Relationship Id="rId99" Type="http://schemas.openxmlformats.org/officeDocument/2006/relationships/queryTable" Target="../queryTables/queryTable1365.xml"/><Relationship Id="rId101" Type="http://schemas.openxmlformats.org/officeDocument/2006/relationships/queryTable" Target="../queryTables/queryTable1367.xml"/><Relationship Id="rId122" Type="http://schemas.openxmlformats.org/officeDocument/2006/relationships/queryTable" Target="../queryTables/queryTable1388.xml"/><Relationship Id="rId143" Type="http://schemas.openxmlformats.org/officeDocument/2006/relationships/queryTable" Target="../queryTables/queryTable1409.xml"/><Relationship Id="rId148" Type="http://schemas.openxmlformats.org/officeDocument/2006/relationships/queryTable" Target="../queryTables/queryTable1414.xml"/><Relationship Id="rId4" Type="http://schemas.openxmlformats.org/officeDocument/2006/relationships/control" Target="../activeX/activeX10.xml"/><Relationship Id="rId9" Type="http://schemas.openxmlformats.org/officeDocument/2006/relationships/queryTable" Target="../queryTables/queryTable1275.xml"/><Relationship Id="rId26" Type="http://schemas.openxmlformats.org/officeDocument/2006/relationships/queryTable" Target="../queryTables/queryTable1292.xml"/><Relationship Id="rId47" Type="http://schemas.openxmlformats.org/officeDocument/2006/relationships/queryTable" Target="../queryTables/queryTable1313.xml"/><Relationship Id="rId68" Type="http://schemas.openxmlformats.org/officeDocument/2006/relationships/queryTable" Target="../queryTables/queryTable1334.xml"/><Relationship Id="rId89" Type="http://schemas.openxmlformats.org/officeDocument/2006/relationships/queryTable" Target="../queryTables/queryTable1355.xml"/><Relationship Id="rId112" Type="http://schemas.openxmlformats.org/officeDocument/2006/relationships/queryTable" Target="../queryTables/queryTable1378.xml"/><Relationship Id="rId133" Type="http://schemas.openxmlformats.org/officeDocument/2006/relationships/queryTable" Target="../queryTables/queryTable1399.xml"/><Relationship Id="rId154" Type="http://schemas.openxmlformats.org/officeDocument/2006/relationships/queryTable" Target="../queryTables/queryTable1420.xml"/><Relationship Id="rId16" Type="http://schemas.openxmlformats.org/officeDocument/2006/relationships/queryTable" Target="../queryTables/queryTable1282.xml"/><Relationship Id="rId37" Type="http://schemas.openxmlformats.org/officeDocument/2006/relationships/queryTable" Target="../queryTables/queryTable1303.xml"/><Relationship Id="rId58" Type="http://schemas.openxmlformats.org/officeDocument/2006/relationships/queryTable" Target="../queryTables/queryTable1324.xml"/><Relationship Id="rId79" Type="http://schemas.openxmlformats.org/officeDocument/2006/relationships/queryTable" Target="../queryTables/queryTable1345.xml"/><Relationship Id="rId102" Type="http://schemas.openxmlformats.org/officeDocument/2006/relationships/queryTable" Target="../queryTables/queryTable1368.xml"/><Relationship Id="rId123" Type="http://schemas.openxmlformats.org/officeDocument/2006/relationships/queryTable" Target="../queryTables/queryTable1389.xml"/><Relationship Id="rId144" Type="http://schemas.openxmlformats.org/officeDocument/2006/relationships/queryTable" Target="../queryTables/queryTable1410.xml"/><Relationship Id="rId90" Type="http://schemas.openxmlformats.org/officeDocument/2006/relationships/queryTable" Target="../queryTables/queryTable13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D19"/>
  <sheetViews>
    <sheetView workbookViewId="0">
      <selection activeCell="B4" sqref="B4"/>
    </sheetView>
  </sheetViews>
  <sheetFormatPr defaultRowHeight="15" x14ac:dyDescent="0.25"/>
  <sheetData>
    <row r="2" spans="1:4" ht="15.75" thickBot="1" x14ac:dyDescent="0.3">
      <c r="A2" s="46" t="s">
        <v>24</v>
      </c>
      <c r="B2" s="46"/>
    </row>
    <row r="3" spans="1:4" ht="15.75" thickBot="1" x14ac:dyDescent="0.3">
      <c r="A3" t="s">
        <v>0</v>
      </c>
      <c r="B3" s="1">
        <v>101323.8</v>
      </c>
      <c r="D3">
        <f>101325-1.2</f>
        <v>101323.8</v>
      </c>
    </row>
    <row r="4" spans="1:4" x14ac:dyDescent="0.25">
      <c r="A4" t="s">
        <v>1</v>
      </c>
      <c r="B4" s="2">
        <f>($B$9/$B$10)*((POWER(B3/$B$14,(-$B$11*$B$10)/($B$12*$B$13)))-1)</f>
        <v>9.9891115600868857E-2</v>
      </c>
    </row>
    <row r="5" spans="1:4" ht="15.75" thickBot="1" x14ac:dyDescent="0.3"/>
    <row r="6" spans="1:4" ht="15.75" thickBot="1" x14ac:dyDescent="0.3">
      <c r="A6" t="s">
        <v>2</v>
      </c>
      <c r="B6" s="1">
        <v>950</v>
      </c>
    </row>
    <row r="7" spans="1:4" x14ac:dyDescent="0.25">
      <c r="A7" t="s">
        <v>3</v>
      </c>
      <c r="B7" s="3">
        <f>B14*EXP(-B12*B13*B6/(B11*B9))</f>
        <v>90531.761188046949</v>
      </c>
    </row>
    <row r="9" spans="1:4" x14ac:dyDescent="0.25">
      <c r="A9" t="s">
        <v>4</v>
      </c>
      <c r="B9">
        <f>273.15+C9</f>
        <v>288.14999999999998</v>
      </c>
      <c r="C9">
        <v>15</v>
      </c>
    </row>
    <row r="10" spans="1:4" x14ac:dyDescent="0.25">
      <c r="A10" t="s">
        <v>6</v>
      </c>
      <c r="B10">
        <v>-6.4999999999999997E-3</v>
      </c>
    </row>
    <row r="11" spans="1:4" x14ac:dyDescent="0.25">
      <c r="A11" t="s">
        <v>8</v>
      </c>
      <c r="B11">
        <v>8.3143200000000004</v>
      </c>
    </row>
    <row r="12" spans="1:4" x14ac:dyDescent="0.25">
      <c r="A12" t="s">
        <v>10</v>
      </c>
      <c r="B12">
        <v>9.8066499999999994</v>
      </c>
    </row>
    <row r="13" spans="1:4" x14ac:dyDescent="0.25">
      <c r="A13" t="s">
        <v>12</v>
      </c>
      <c r="B13">
        <v>2.8964400000000001E-2</v>
      </c>
    </row>
    <row r="14" spans="1:4" x14ac:dyDescent="0.25">
      <c r="A14" t="s">
        <v>13</v>
      </c>
      <c r="B14">
        <v>101325</v>
      </c>
    </row>
    <row r="16" spans="1:4" x14ac:dyDescent="0.25">
      <c r="A16" t="s">
        <v>5</v>
      </c>
      <c r="B16">
        <v>44307</v>
      </c>
    </row>
    <row r="17" spans="1:2" x14ac:dyDescent="0.25">
      <c r="A17" t="s">
        <v>7</v>
      </c>
      <c r="B17">
        <v>0.21190000000000001</v>
      </c>
    </row>
    <row r="18" spans="1:2" x14ac:dyDescent="0.25">
      <c r="A18" t="s">
        <v>9</v>
      </c>
      <c r="B18">
        <v>44330</v>
      </c>
    </row>
    <row r="19" spans="1:2" x14ac:dyDescent="0.25">
      <c r="A19" t="s">
        <v>11</v>
      </c>
      <c r="B19">
        <v>0.1903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BH248"/>
  <sheetViews>
    <sheetView zoomScaleNormal="100" workbookViewId="0">
      <selection activeCell="D17" sqref="D17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/>
      <c r="D1" s="28" t="s">
        <v>15</v>
      </c>
      <c r="E1" s="43"/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90690.02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925.47157680671944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84158.09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1538.4224855734701</v>
      </c>
      <c r="F4" s="39">
        <f>E4-E3</f>
        <v>612.95090876675067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27000</v>
      </c>
      <c r="D8" s="11">
        <v>90690.02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925.47157680671944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26995</v>
      </c>
      <c r="D9" s="5">
        <v>90703.52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924.24231123866173</v>
      </c>
      <c r="F9" s="14">
        <f t="shared" si="0"/>
        <v>-1.2292655680577127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27360</v>
      </c>
      <c r="D10" s="5">
        <v>89717.78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1014.3926632616448</v>
      </c>
      <c r="F10" s="14">
        <f t="shared" si="0"/>
        <v>88.92108645492533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28684</v>
      </c>
      <c r="D11" s="5">
        <v>86144.97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1348.014877416058</v>
      </c>
      <c r="F11" s="14">
        <f t="shared" si="0"/>
        <v>422.54330060933853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29224</v>
      </c>
      <c r="D12" s="5">
        <v>84689.05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1487.1858770887616</v>
      </c>
      <c r="F12" s="14">
        <f t="shared" si="0"/>
        <v>561.71430028204213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29421</v>
      </c>
      <c r="D13" s="5">
        <v>84158.09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1538.4224855734701</v>
      </c>
      <c r="F13" s="14">
        <f t="shared" si="0"/>
        <v>612.95090876675067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29326</v>
      </c>
      <c r="D14" s="5">
        <v>84414.13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1513.6825458528076</v>
      </c>
      <c r="F14" s="14">
        <f t="shared" si="0"/>
        <v>588.21096904608817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29298</v>
      </c>
      <c r="D15" s="5">
        <v>84489.59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1506.4027949046204</v>
      </c>
      <c r="F15" s="14">
        <f t="shared" si="0"/>
        <v>580.93121809790091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29266</v>
      </c>
      <c r="D16" s="5">
        <v>84575.84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1498.0885597156569</v>
      </c>
      <c r="F16" s="14">
        <f t="shared" si="0"/>
        <v>572.61698290893742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28454</v>
      </c>
      <c r="D17" s="5">
        <v>86765.3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1289.2957687358196</v>
      </c>
      <c r="F17" s="14">
        <f t="shared" si="0"/>
        <v>363.82419192910015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27247</v>
      </c>
      <c r="D18" s="5">
        <v>90022.92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986.40088989908054</v>
      </c>
      <c r="F18" s="14">
        <f t="shared" si="0"/>
        <v>60.929313092361099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26974</v>
      </c>
      <c r="D19" s="5">
        <v>90760.24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919.07919297661419</v>
      </c>
      <c r="F19" s="14">
        <f t="shared" si="0"/>
        <v>-6.3923838301052456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26973</v>
      </c>
      <c r="D20" s="5">
        <v>90762.94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918.83348204905474</v>
      </c>
      <c r="F20" s="14">
        <f t="shared" si="0"/>
        <v>-6.6380947576647031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26975</v>
      </c>
      <c r="D21" s="5">
        <v>90757.54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919.32490982308877</v>
      </c>
      <c r="F21" s="14">
        <f t="shared" si="0"/>
        <v>-6.1466669836306664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26974</v>
      </c>
      <c r="D22" s="5">
        <v>90760.24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919.07919297661419</v>
      </c>
      <c r="F22" s="14">
        <f t="shared" si="0"/>
        <v>-6.3923838301052456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26973</v>
      </c>
      <c r="D23" s="5">
        <v>90762.94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918.83348204905474</v>
      </c>
      <c r="F23" s="14">
        <f t="shared" si="0"/>
        <v>-6.6380947576647031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26972</v>
      </c>
      <c r="D24" s="5">
        <v>90765.64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918.58777704008548</v>
      </c>
      <c r="F24" s="14">
        <f t="shared" si="0"/>
        <v>-6.8837997666339561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26973</v>
      </c>
      <c r="D25" s="5">
        <v>90762.94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918.83348204905474</v>
      </c>
      <c r="F25" s="14">
        <f t="shared" si="0"/>
        <v>-6.6380947576647031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26973</v>
      </c>
      <c r="D26" s="5">
        <v>90762.94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918.83348204905474</v>
      </c>
      <c r="F26" s="14">
        <f t="shared" si="0"/>
        <v>-6.6380947576647031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26971</v>
      </c>
      <c r="D27" s="5">
        <v>90768.34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918.34207794938675</v>
      </c>
      <c r="F27" s="14">
        <f t="shared" si="0"/>
        <v>-7.1294988573326918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26973</v>
      </c>
      <c r="D28" s="5">
        <v>90762.94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918.83348204905474</v>
      </c>
      <c r="F28" s="14">
        <f t="shared" si="0"/>
        <v>-6.6380947576647031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26973</v>
      </c>
      <c r="D29" s="5">
        <v>90762.94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918.83348204905474</v>
      </c>
      <c r="F29" s="14">
        <f t="shared" si="0"/>
        <v>-6.6380947576647031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26972</v>
      </c>
      <c r="D30" s="5">
        <v>90765.64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918.58777704008548</v>
      </c>
      <c r="F30" s="14">
        <f t="shared" si="0"/>
        <v>-6.8837997666339561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26970</v>
      </c>
      <c r="D31" s="5">
        <v>90771.05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918.09547481293134</v>
      </c>
      <c r="F31" s="14">
        <f t="shared" si="0"/>
        <v>-7.3761019937880974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26971</v>
      </c>
      <c r="D32" s="5">
        <v>90768.34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918.34207794938675</v>
      </c>
      <c r="F32" s="14">
        <f t="shared" si="0"/>
        <v>-7.1294988573326918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26973</v>
      </c>
      <c r="D33" s="5">
        <v>90762.94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918.83348204905474</v>
      </c>
      <c r="F33" s="14">
        <f t="shared" si="0"/>
        <v>-6.6380947576647031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26973</v>
      </c>
      <c r="D34" s="5">
        <v>90762.94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918.83348204905474</v>
      </c>
      <c r="F34" s="14">
        <f>IF(D34&lt;&gt;0,E34-$E$3,0)</f>
        <v>-6.6380947576647031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26972</v>
      </c>
      <c r="D35" s="5">
        <v>90765.64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918.58777704008548</v>
      </c>
      <c r="F35" s="14">
        <f t="shared" ref="F35:F98" si="1">IF(D35&lt;&gt;0,E35-$E$3,0)</f>
        <v>-6.8837997666339561</v>
      </c>
      <c r="J35" s="34"/>
      <c r="K35" s="34"/>
    </row>
    <row r="36" spans="1:60" x14ac:dyDescent="0.25">
      <c r="A36" s="10">
        <v>5.3760000000000003</v>
      </c>
      <c r="B36" s="10"/>
      <c r="C36" s="30">
        <v>26972</v>
      </c>
      <c r="D36" s="5">
        <v>90765.64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918.58777704008548</v>
      </c>
      <c r="F36" s="14">
        <f t="shared" si="1"/>
        <v>-6.8837997666339561</v>
      </c>
      <c r="J36" s="34"/>
      <c r="K36" s="34"/>
    </row>
    <row r="37" spans="1:60" x14ac:dyDescent="0.25">
      <c r="A37" s="10">
        <v>5.5679999999999996</v>
      </c>
      <c r="B37" s="10"/>
      <c r="C37" s="30">
        <v>26971</v>
      </c>
      <c r="D37" s="5">
        <v>90768.34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918.34207794938675</v>
      </c>
      <c r="F37" s="14">
        <f t="shared" si="1"/>
        <v>-7.1294988573326918</v>
      </c>
      <c r="J37" s="34"/>
      <c r="K37" s="34"/>
    </row>
    <row r="38" spans="1:60" x14ac:dyDescent="0.25">
      <c r="A38" s="10">
        <v>5.76</v>
      </c>
      <c r="B38" s="10"/>
      <c r="C38" s="30">
        <v>26974</v>
      </c>
      <c r="D38" s="5">
        <v>90760.24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919.07919297661419</v>
      </c>
      <c r="F38" s="14">
        <f t="shared" si="1"/>
        <v>-6.3923838301052456</v>
      </c>
      <c r="J38" s="34"/>
      <c r="K38" s="34"/>
    </row>
    <row r="39" spans="1:60" x14ac:dyDescent="0.25">
      <c r="A39" s="10">
        <v>5.952</v>
      </c>
      <c r="B39" s="10"/>
      <c r="C39" s="30"/>
      <c r="D39" s="5"/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0</v>
      </c>
      <c r="F39" s="14">
        <f t="shared" si="1"/>
        <v>0</v>
      </c>
      <c r="J39" s="34"/>
      <c r="K39" s="34"/>
    </row>
    <row r="40" spans="1:60" x14ac:dyDescent="0.25">
      <c r="A40" s="10">
        <v>6.1440000000000001</v>
      </c>
      <c r="B40" s="10"/>
      <c r="C40" s="30"/>
      <c r="D40" s="5"/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0</v>
      </c>
      <c r="F40" s="14">
        <f t="shared" si="1"/>
        <v>0</v>
      </c>
      <c r="J40" s="34"/>
      <c r="K40" s="34"/>
    </row>
    <row r="41" spans="1:60" x14ac:dyDescent="0.25">
      <c r="A41" s="10">
        <v>6.3360000000000003</v>
      </c>
      <c r="B41" s="10"/>
      <c r="C41" s="30"/>
      <c r="D41" s="5"/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0</v>
      </c>
      <c r="F41" s="14">
        <f t="shared" si="1"/>
        <v>0</v>
      </c>
      <c r="J41" s="34"/>
      <c r="K41" s="34"/>
    </row>
    <row r="42" spans="1:60" x14ac:dyDescent="0.25">
      <c r="A42" s="10">
        <v>6.5279999999999996</v>
      </c>
      <c r="B42" s="10"/>
      <c r="C42" s="30"/>
      <c r="D42" s="5"/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0</v>
      </c>
      <c r="F42" s="14">
        <f t="shared" si="1"/>
        <v>0</v>
      </c>
      <c r="J42" s="34"/>
      <c r="K42" s="34"/>
    </row>
    <row r="43" spans="1:60" x14ac:dyDescent="0.25">
      <c r="A43" s="10">
        <v>6.72</v>
      </c>
      <c r="B43" s="10"/>
      <c r="C43" s="30"/>
      <c r="D43" s="5"/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0</v>
      </c>
      <c r="F43" s="14">
        <f t="shared" si="1"/>
        <v>0</v>
      </c>
      <c r="J43" s="34"/>
      <c r="K43" s="34"/>
    </row>
    <row r="44" spans="1:60" x14ac:dyDescent="0.25">
      <c r="A44" s="10">
        <v>6.9119999999999999</v>
      </c>
      <c r="B44" s="10"/>
      <c r="C44" s="30"/>
      <c r="D44" s="5"/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f t="shared" si="1"/>
        <v>0</v>
      </c>
      <c r="J44" s="34"/>
      <c r="K44" s="34"/>
    </row>
    <row r="45" spans="1:60" x14ac:dyDescent="0.25">
      <c r="A45" s="10">
        <v>7.1040000000000001</v>
      </c>
      <c r="B45" s="10"/>
      <c r="C45" s="30"/>
      <c r="D45" s="5"/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f t="shared" si="1"/>
        <v>0</v>
      </c>
      <c r="J45" s="34"/>
      <c r="K45" s="34"/>
    </row>
    <row r="46" spans="1:60" x14ac:dyDescent="0.25">
      <c r="A46" s="10">
        <v>7.2959999999999896</v>
      </c>
      <c r="B46" s="10"/>
      <c r="C46" s="30"/>
      <c r="D46" s="5"/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f t="shared" si="1"/>
        <v>0</v>
      </c>
      <c r="J46" s="34"/>
      <c r="K46" s="34"/>
    </row>
    <row r="47" spans="1:60" x14ac:dyDescent="0.25">
      <c r="A47" s="10">
        <v>7.4879999999999898</v>
      </c>
      <c r="B47" s="10"/>
      <c r="C47" s="30"/>
      <c r="D47" s="5"/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f t="shared" si="1"/>
        <v>0</v>
      </c>
      <c r="J47" s="34"/>
      <c r="K47" s="34"/>
    </row>
    <row r="48" spans="1:60" x14ac:dyDescent="0.25">
      <c r="A48" s="10">
        <v>7.6799999999999899</v>
      </c>
      <c r="B48" s="10"/>
      <c r="C48" s="30"/>
      <c r="D48" s="5"/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f t="shared" si="1"/>
        <v>0</v>
      </c>
      <c r="J48" s="34"/>
      <c r="K48" s="34"/>
    </row>
    <row r="49" spans="1:11" x14ac:dyDescent="0.25">
      <c r="A49" s="10">
        <v>7.8719999999999901</v>
      </c>
      <c r="B49" s="10"/>
      <c r="C49" s="30"/>
      <c r="D49" s="5"/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/>
      <c r="D50" s="5"/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/>
      <c r="D51" s="5"/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/>
      <c r="D52" s="5"/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/>
      <c r="D53" s="5"/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/>
      <c r="D54" s="5"/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/>
      <c r="D55" s="5"/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/>
      <c r="D56" s="5"/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/>
      <c r="D57" s="5"/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/>
      <c r="D58" s="5"/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5:C5"/>
    <mergeCell ref="A1:B1"/>
    <mergeCell ref="A2:C2"/>
    <mergeCell ref="A3:C3"/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BH248"/>
  <sheetViews>
    <sheetView topLeftCell="F1" zoomScaleNormal="100" workbookViewId="0">
      <selection activeCell="F13" sqref="F13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>
        <v>76</v>
      </c>
      <c r="D1" s="41" t="s">
        <v>15</v>
      </c>
      <c r="E1" s="43">
        <v>42680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91078.28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890.17689332112445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86368.61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1326.8062442739142</v>
      </c>
      <c r="F4" s="39">
        <f>E4-E3</f>
        <v>436.62935095278976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25178</v>
      </c>
      <c r="D8" s="11">
        <v>91078.28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890.17689332112445</v>
      </c>
      <c r="F8" s="14">
        <v>1.1952176561967462</v>
      </c>
      <c r="J8" s="34"/>
      <c r="K8" s="34"/>
    </row>
    <row r="9" spans="1:56" x14ac:dyDescent="0.25">
      <c r="A9" s="10">
        <v>0.192</v>
      </c>
      <c r="B9" s="10"/>
      <c r="C9" s="30">
        <v>25178</v>
      </c>
      <c r="D9" s="5">
        <v>91078.28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890.17689332112445</v>
      </c>
      <c r="F9" s="14">
        <v>-0.71778935188535797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25217</v>
      </c>
      <c r="D10" s="5">
        <v>90975.53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899.50548498950468</v>
      </c>
      <c r="F10" s="14">
        <v>-0.71778935188535797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26160</v>
      </c>
      <c r="D11" s="5">
        <v>88492.14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1127.6083797848476</v>
      </c>
      <c r="F11" s="14">
        <v>0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26692</v>
      </c>
      <c r="D12" s="5">
        <v>87092.06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1258.5019439064197</v>
      </c>
      <c r="F12" s="14">
        <v>-0.47822936469469823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26937</v>
      </c>
      <c r="D13" s="5">
        <v>86447.53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1319.3325746340913</v>
      </c>
      <c r="F13" s="14">
        <v>-0.47822936469469823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26962</v>
      </c>
      <c r="D14" s="5">
        <v>86381.77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1325.5596172743255</v>
      </c>
      <c r="F14" s="14">
        <v>-0.47822936469469823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26967</v>
      </c>
      <c r="D15" s="5">
        <v>86368.61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1326.8062442739142</v>
      </c>
      <c r="F15" s="14">
        <v>-0.23957121113187441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26910</v>
      </c>
      <c r="D16" s="5">
        <v>86518.55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1312.6117509415676</v>
      </c>
      <c r="F16" s="14">
        <v>-0.23957121113187441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26792</v>
      </c>
      <c r="D17" s="5">
        <v>86828.97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1283.2881578350684</v>
      </c>
      <c r="F17" s="14">
        <v>-0.71778935188535797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26775</v>
      </c>
      <c r="D18" s="5">
        <v>86873.7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1279.0697718888994</v>
      </c>
      <c r="F18" s="14">
        <v>-0.71778935188535797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26765</v>
      </c>
      <c r="D19" s="5">
        <v>86900.01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1276.5893562300166</v>
      </c>
      <c r="F19" s="14">
        <v>-0.47822936469469823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26672</v>
      </c>
      <c r="D20" s="5">
        <v>87144.69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1253.5508496973277</v>
      </c>
      <c r="F20" s="14">
        <v>0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26400</v>
      </c>
      <c r="D21" s="5">
        <v>87860.45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1186.4559407926643</v>
      </c>
      <c r="F21" s="14">
        <v>-0.47822936469469823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26046</v>
      </c>
      <c r="D22" s="5">
        <v>88792.25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1099.7695697373922</v>
      </c>
      <c r="F22" s="14">
        <v>-0.71778935188535797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25585</v>
      </c>
      <c r="D23" s="5">
        <v>90006.15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987.93727569311034</v>
      </c>
      <c r="F23" s="14">
        <v>-0.47822936469469823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25183</v>
      </c>
      <c r="D24" s="5">
        <v>91065.11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891.3721109773212</v>
      </c>
      <c r="F24" s="14">
        <v>-0.47822936469469823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25175</v>
      </c>
      <c r="D25" s="5">
        <v>91086.19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889.4591039692391</v>
      </c>
      <c r="F25" s="14">
        <v>-0.95734371690036824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25175</v>
      </c>
      <c r="D26" s="5">
        <v>91086.19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889.4591039692391</v>
      </c>
      <c r="F26" s="14">
        <v>-0.23957121113187441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25178</v>
      </c>
      <c r="D27" s="5">
        <v>91078.28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890.17689332112445</v>
      </c>
      <c r="F27" s="14">
        <v>-0.23957121113187441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25176</v>
      </c>
      <c r="D28" s="5">
        <v>91083.55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889.69866395642975</v>
      </c>
      <c r="F28" s="14">
        <f t="shared" ref="F28" si="0">IF(D28&lt;&gt;0,E28-$E$3,0)</f>
        <v>-0.47822936469469823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25176</v>
      </c>
      <c r="D29" s="5">
        <v>91083.55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889.69866395642975</v>
      </c>
      <c r="F29" s="14">
        <v>0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25176</v>
      </c>
      <c r="D30" s="5">
        <v>91083.55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889.69866395642975</v>
      </c>
      <c r="F30" s="14">
        <v>0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25177</v>
      </c>
      <c r="D31" s="5">
        <v>91080.92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889.93732210999258</v>
      </c>
      <c r="F31" s="14">
        <v>23.1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25177</v>
      </c>
      <c r="D32" s="5">
        <v>91080.92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889.93732210999258</v>
      </c>
      <c r="F32" s="14">
        <v>102.3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25175</v>
      </c>
      <c r="D33" s="5">
        <v>91086.19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889.4591039692391</v>
      </c>
      <c r="F33" s="14">
        <v>237.4314864637231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25175</v>
      </c>
      <c r="D34" s="5">
        <v>91086.19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889.4591039692391</v>
      </c>
      <c r="F34" s="14">
        <v>368.32505058529523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25176</v>
      </c>
      <c r="D35" s="5">
        <v>91083.55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889.69866395642975</v>
      </c>
      <c r="F35" s="14">
        <v>429.15568131296686</v>
      </c>
      <c r="J35" s="34"/>
      <c r="K35" s="34"/>
    </row>
    <row r="36" spans="1:60" x14ac:dyDescent="0.25">
      <c r="A36" s="10">
        <v>5.3760000000000003</v>
      </c>
      <c r="B36" s="10"/>
      <c r="C36" s="30">
        <v>25178</v>
      </c>
      <c r="D36" s="5">
        <v>91078.28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890.17689332112445</v>
      </c>
      <c r="F36" s="14">
        <v>435.38272395320109</v>
      </c>
      <c r="J36" s="34"/>
      <c r="K36" s="34"/>
    </row>
    <row r="37" spans="1:60" x14ac:dyDescent="0.25">
      <c r="A37" s="10">
        <v>5.5679999999999996</v>
      </c>
      <c r="B37" s="10"/>
      <c r="C37" s="30">
        <v>25176</v>
      </c>
      <c r="D37" s="5">
        <v>91083.55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889.69866395642975</v>
      </c>
      <c r="F37" s="14">
        <v>436.62935095278976</v>
      </c>
      <c r="J37" s="34"/>
      <c r="K37" s="34"/>
    </row>
    <row r="38" spans="1:60" x14ac:dyDescent="0.25">
      <c r="A38" s="10">
        <v>5.76</v>
      </c>
      <c r="B38" s="10"/>
      <c r="C38" s="30">
        <v>25175</v>
      </c>
      <c r="D38" s="5">
        <v>91086.19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889.4591039692391</v>
      </c>
      <c r="F38" s="14">
        <v>422.43485762044315</v>
      </c>
      <c r="J38" s="34"/>
      <c r="K38" s="34"/>
    </row>
    <row r="39" spans="1:60" x14ac:dyDescent="0.25">
      <c r="A39" s="10">
        <v>5.952</v>
      </c>
      <c r="B39" s="10"/>
      <c r="C39" s="30">
        <v>25176</v>
      </c>
      <c r="D39" s="5">
        <v>91083.55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889.69866395642975</v>
      </c>
      <c r="F39" s="14">
        <v>393.11126451394398</v>
      </c>
      <c r="J39" s="34"/>
      <c r="K39" s="34"/>
    </row>
    <row r="40" spans="1:60" x14ac:dyDescent="0.25">
      <c r="A40" s="10">
        <v>6.1440000000000001</v>
      </c>
      <c r="B40" s="10"/>
      <c r="C40" s="30">
        <v>25176</v>
      </c>
      <c r="D40" s="5">
        <v>91083.55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889.69866395642975</v>
      </c>
      <c r="F40" s="14">
        <v>363.3739563762033</v>
      </c>
      <c r="J40" s="34"/>
      <c r="K40" s="34"/>
    </row>
    <row r="41" spans="1:60" x14ac:dyDescent="0.25">
      <c r="A41" s="10">
        <v>6.3360000000000003</v>
      </c>
      <c r="B41" s="10"/>
      <c r="C41" s="30">
        <v>25174</v>
      </c>
      <c r="D41" s="5">
        <v>91088.83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889.21954960422408</v>
      </c>
      <c r="F41" s="14">
        <v>296.2790474715398</v>
      </c>
      <c r="J41" s="34"/>
      <c r="K41" s="34"/>
    </row>
    <row r="42" spans="1:60" x14ac:dyDescent="0.25">
      <c r="A42" s="10">
        <v>6.5279999999999996</v>
      </c>
      <c r="B42" s="10"/>
      <c r="C42" s="30">
        <v>25177</v>
      </c>
      <c r="D42" s="5">
        <v>91080.92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889.93732210999258</v>
      </c>
      <c r="F42" s="14">
        <v>209.59267641626775</v>
      </c>
      <c r="J42" s="34"/>
      <c r="K42" s="34"/>
    </row>
    <row r="43" spans="1:60" x14ac:dyDescent="0.25">
      <c r="A43" s="10">
        <v>6.72</v>
      </c>
      <c r="B43" s="10"/>
      <c r="C43" s="30">
        <v>25177</v>
      </c>
      <c r="D43" s="5">
        <v>91080.92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889.93732210999258</v>
      </c>
      <c r="F43" s="14">
        <v>97.760382371985884</v>
      </c>
      <c r="J43" s="34"/>
      <c r="K43" s="34"/>
    </row>
    <row r="44" spans="1:60" x14ac:dyDescent="0.25">
      <c r="A44" s="10">
        <v>6.9119999999999999</v>
      </c>
      <c r="B44" s="10"/>
      <c r="C44" s="30"/>
      <c r="D44" s="5"/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v>1.1952176561967462</v>
      </c>
      <c r="J44" s="34"/>
      <c r="K44" s="34"/>
    </row>
    <row r="45" spans="1:60" x14ac:dyDescent="0.25">
      <c r="A45" s="10">
        <v>7.1040000000000001</v>
      </c>
      <c r="B45" s="10"/>
      <c r="C45" s="30"/>
      <c r="D45" s="5"/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v>-0.71778935188535797</v>
      </c>
      <c r="J45" s="34"/>
      <c r="K45" s="34"/>
    </row>
    <row r="46" spans="1:60" x14ac:dyDescent="0.25">
      <c r="A46" s="10">
        <v>7.2959999999999896</v>
      </c>
      <c r="B46" s="10"/>
      <c r="C46" s="30"/>
      <c r="D46" s="5"/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v>-0.71778935188535797</v>
      </c>
      <c r="J46" s="34"/>
      <c r="K46" s="34"/>
    </row>
    <row r="47" spans="1:60" x14ac:dyDescent="0.25">
      <c r="A47" s="10">
        <v>7.4879999999999898</v>
      </c>
      <c r="B47" s="10"/>
      <c r="C47" s="30"/>
      <c r="D47" s="5"/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v>0</v>
      </c>
      <c r="J47" s="34"/>
      <c r="K47" s="34"/>
    </row>
    <row r="48" spans="1:60" x14ac:dyDescent="0.25">
      <c r="A48" s="10">
        <v>7.6799999999999899</v>
      </c>
      <c r="B48" s="10"/>
      <c r="C48" s="30"/>
      <c r="D48" s="5"/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v>-0.47822936469469823</v>
      </c>
      <c r="J48" s="34"/>
      <c r="K48" s="34"/>
    </row>
    <row r="49" spans="1:11" x14ac:dyDescent="0.25">
      <c r="A49" s="10">
        <v>7.8719999999999901</v>
      </c>
      <c r="B49" s="10"/>
      <c r="C49" s="30"/>
      <c r="D49" s="5"/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v>-0.47822936469469823</v>
      </c>
      <c r="J49" s="34"/>
      <c r="K49" s="34"/>
    </row>
    <row r="50" spans="1:11" x14ac:dyDescent="0.25">
      <c r="A50" s="10">
        <v>8.0639999999999894</v>
      </c>
      <c r="B50" s="10"/>
      <c r="C50" s="30"/>
      <c r="D50" s="5"/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v>-0.47822936469469823</v>
      </c>
      <c r="J50" s="34"/>
      <c r="K50" s="34"/>
    </row>
    <row r="51" spans="1:11" x14ac:dyDescent="0.25">
      <c r="A51" s="10">
        <v>8.2559999999999896</v>
      </c>
      <c r="B51" s="10"/>
      <c r="C51" s="30"/>
      <c r="D51" s="5"/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v>-0.23957121113187441</v>
      </c>
      <c r="J51" s="34"/>
      <c r="K51" s="34"/>
    </row>
    <row r="52" spans="1:11" x14ac:dyDescent="0.25">
      <c r="A52" s="10">
        <v>8.4479999999999897</v>
      </c>
      <c r="B52" s="10"/>
      <c r="C52" s="30"/>
      <c r="D52" s="5"/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v>-0.23957121113187441</v>
      </c>
      <c r="J52" s="34"/>
      <c r="K52" s="34"/>
    </row>
    <row r="53" spans="1:11" x14ac:dyDescent="0.25">
      <c r="A53" s="10">
        <v>8.6399999999999899</v>
      </c>
      <c r="B53" s="10"/>
      <c r="C53" s="30"/>
      <c r="D53" s="5"/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v>-0.71778935188535797</v>
      </c>
      <c r="J53" s="34"/>
      <c r="K53" s="34"/>
    </row>
    <row r="54" spans="1:11" x14ac:dyDescent="0.25">
      <c r="A54" s="10">
        <v>8.8319999999999901</v>
      </c>
      <c r="B54" s="10"/>
      <c r="C54" s="30"/>
      <c r="D54" s="5"/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v>-0.71778935188535797</v>
      </c>
      <c r="J54" s="34"/>
      <c r="K54" s="34"/>
    </row>
    <row r="55" spans="1:11" x14ac:dyDescent="0.25">
      <c r="A55" s="10">
        <v>9.0239999999999903</v>
      </c>
      <c r="B55" s="10"/>
      <c r="C55" s="30"/>
      <c r="D55" s="5"/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v>-0.47822936469469823</v>
      </c>
      <c r="J55" s="34"/>
      <c r="K55" s="34"/>
    </row>
    <row r="56" spans="1:11" x14ac:dyDescent="0.25">
      <c r="A56" s="10">
        <v>9.2159999999999904</v>
      </c>
      <c r="B56" s="10"/>
      <c r="C56" s="30"/>
      <c r="D56" s="5"/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v>0</v>
      </c>
      <c r="J56" s="34"/>
      <c r="K56" s="34"/>
    </row>
    <row r="57" spans="1:11" x14ac:dyDescent="0.25">
      <c r="A57" s="10">
        <v>9.4079999999999906</v>
      </c>
      <c r="B57" s="10"/>
      <c r="C57" s="30"/>
      <c r="D57" s="5"/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v>-0.47822936469469823</v>
      </c>
      <c r="J57" s="34"/>
      <c r="K57" s="34"/>
    </row>
    <row r="58" spans="1:11" x14ac:dyDescent="0.25">
      <c r="A58" s="10">
        <v>9.5999999999999908</v>
      </c>
      <c r="B58" s="10"/>
      <c r="C58" s="30"/>
      <c r="D58" s="5"/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v>-0.71778935188535797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v>-0.47822936469469823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v>-0.47822936469469823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v>-0.95734371690036824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v>-0.23957121113187441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v>-0.23957121113187441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ref="F64:F98" si="1">IF(D64&lt;&gt;0,E64-$E$3,0)</f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BH248"/>
  <sheetViews>
    <sheetView zoomScaleNormal="100" workbookViewId="0">
      <selection activeCell="A3" sqref="A3:C3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27</v>
      </c>
      <c r="D1" s="42" t="s">
        <v>15</v>
      </c>
      <c r="E1" s="43">
        <v>42684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90772.18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917.99264943603555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91089.69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889.1415141690037</v>
      </c>
      <c r="F4" s="39">
        <f>E4-E3</f>
        <v>-28.85113526703185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30764</v>
      </c>
      <c r="D8" s="11">
        <v>91257.96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873.884348365964</v>
      </c>
      <c r="F8" s="13">
        <f t="shared" ref="F8:F33" si="0">IF(D8&lt;&gt;0,E8-$E$3,0)</f>
        <v>-44.108301070071548</v>
      </c>
      <c r="J8" s="34"/>
      <c r="K8" s="34"/>
    </row>
    <row r="9" spans="1:56" x14ac:dyDescent="0.25">
      <c r="A9" s="10">
        <v>0.192</v>
      </c>
      <c r="B9" s="10"/>
      <c r="C9" s="30">
        <v>30777</v>
      </c>
      <c r="D9" s="5">
        <v>91222.67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877.0822299625903</v>
      </c>
      <c r="F9" s="14">
        <f t="shared" si="0"/>
        <v>-40.910419473445245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30723</v>
      </c>
      <c r="D10" s="5">
        <v>91369.23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863.80792241452173</v>
      </c>
      <c r="F10" s="14">
        <f t="shared" si="0"/>
        <v>-54.184727021513822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30639</v>
      </c>
      <c r="D11" s="5">
        <v>91597.24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843.1907195985475</v>
      </c>
      <c r="F11" s="14">
        <f t="shared" si="0"/>
        <v>-74.801929837488046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30587</v>
      </c>
      <c r="D12" s="5">
        <v>91738.39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830.44841996640866</v>
      </c>
      <c r="F12" s="14">
        <f t="shared" si="0"/>
        <v>-87.544229469626885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30793</v>
      </c>
      <c r="D13" s="5">
        <v>91179.25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881.01820431455985</v>
      </c>
      <c r="F13" s="14">
        <f t="shared" si="0"/>
        <v>-36.974445121475696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30560</v>
      </c>
      <c r="D14" s="5">
        <v>91811.69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823.83753266339977</v>
      </c>
      <c r="F14" s="14">
        <f t="shared" si="0"/>
        <v>-94.155116772635779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30489</v>
      </c>
      <c r="D15" s="5">
        <v>92004.42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806.47568739399503</v>
      </c>
      <c r="F15" s="14">
        <f t="shared" si="0"/>
        <v>-111.51696204204052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30633</v>
      </c>
      <c r="D16" s="5">
        <v>91613.52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841.72023368172415</v>
      </c>
      <c r="F16" s="14">
        <f t="shared" si="0"/>
        <v>-76.272415754311396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30653</v>
      </c>
      <c r="D17" s="5">
        <v>91559.23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846.62478502200122</v>
      </c>
      <c r="F17" s="14">
        <f t="shared" si="0"/>
        <v>-71.367864414034329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30623</v>
      </c>
      <c r="D18" s="5">
        <v>91640.67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839.26838901558347</v>
      </c>
      <c r="F18" s="14">
        <f t="shared" si="0"/>
        <v>-78.724260420452083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30714</v>
      </c>
      <c r="D19" s="5">
        <v>91393.67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861.59600774104479</v>
      </c>
      <c r="F19" s="14">
        <f t="shared" si="0"/>
        <v>-56.396641694990763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30793</v>
      </c>
      <c r="D20" s="5">
        <v>91179.25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881.01820431455985</v>
      </c>
      <c r="F20" s="14">
        <f t="shared" si="0"/>
        <v>-36.974445121475696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30821</v>
      </c>
      <c r="D21" s="5">
        <v>91103.27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887.90935928358476</v>
      </c>
      <c r="F21" s="14">
        <f t="shared" si="0"/>
        <v>-30.083290152450786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30821</v>
      </c>
      <c r="D22" s="5">
        <v>91103.27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887.90935928358476</v>
      </c>
      <c r="F22" s="14">
        <f t="shared" si="0"/>
        <v>-30.083290152450786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30656</v>
      </c>
      <c r="D23" s="5">
        <v>91551.09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847.36035452654266</v>
      </c>
      <c r="F23" s="14">
        <f t="shared" si="0"/>
        <v>-70.632294909492884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30653</v>
      </c>
      <c r="D24" s="5">
        <v>91559.23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846.62478502200122</v>
      </c>
      <c r="F24" s="14">
        <f t="shared" si="0"/>
        <v>-71.367864414034329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30663</v>
      </c>
      <c r="D25" s="5">
        <v>91532.09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849.07749189387209</v>
      </c>
      <c r="F25" s="14">
        <f t="shared" si="0"/>
        <v>-68.915157542163456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30624</v>
      </c>
      <c r="D26" s="5">
        <v>91637.95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839.51399850502071</v>
      </c>
      <c r="F26" s="14">
        <f t="shared" si="0"/>
        <v>-78.47865093101484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30585</v>
      </c>
      <c r="D27" s="5">
        <v>91743.82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829.95854454706011</v>
      </c>
      <c r="F27" s="14">
        <f t="shared" si="0"/>
        <v>-88.034104888975435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30636</v>
      </c>
      <c r="D28" s="5">
        <v>91605.39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842.45454694192847</v>
      </c>
      <c r="F28" s="14">
        <f t="shared" si="0"/>
        <v>-75.538102494107079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30513</v>
      </c>
      <c r="D29" s="5">
        <v>91939.27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812.34134737408567</v>
      </c>
      <c r="F29" s="14">
        <f t="shared" si="0"/>
        <v>-105.65130206194988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30499</v>
      </c>
      <c r="D30" s="5">
        <v>91977.279999999999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808.91877835202911</v>
      </c>
      <c r="F30" s="14">
        <f t="shared" si="0"/>
        <v>-109.07387108400644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30594</v>
      </c>
      <c r="D31" s="5">
        <v>91719.39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832.16271768279375</v>
      </c>
      <c r="F31" s="14">
        <f t="shared" si="0"/>
        <v>-85.829931753241794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30585</v>
      </c>
      <c r="D32" s="5">
        <v>91743.82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829.95854454706011</v>
      </c>
      <c r="F32" s="14">
        <f t="shared" si="0"/>
        <v>-88.034104888975435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30594</v>
      </c>
      <c r="D33" s="5">
        <v>91719.39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832.16271768279375</v>
      </c>
      <c r="F33" s="14">
        <f t="shared" si="0"/>
        <v>-85.829931753241794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30595</v>
      </c>
      <c r="D34" s="5">
        <v>91716.67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832.40815646385056</v>
      </c>
      <c r="F34" s="14">
        <f>IF(D34&lt;&gt;0,E34-$E$3,0)</f>
        <v>-85.584492972184989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30599</v>
      </c>
      <c r="D35" s="5">
        <v>91705.82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833.38726319403702</v>
      </c>
      <c r="F35" s="14">
        <f t="shared" ref="F35:F98" si="1">IF(D35&lt;&gt;0,E35-$E$3,0)</f>
        <v>-84.605386241998531</v>
      </c>
      <c r="J35" s="34"/>
      <c r="K35" s="34"/>
    </row>
    <row r="36" spans="1:60" x14ac:dyDescent="0.25">
      <c r="A36" s="10">
        <v>5.3760000000000003</v>
      </c>
      <c r="B36" s="10"/>
      <c r="C36" s="30">
        <v>30600</v>
      </c>
      <c r="D36" s="5">
        <v>91703.11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833.63182891604652</v>
      </c>
      <c r="F36" s="14">
        <f t="shared" si="1"/>
        <v>-84.360820519989034</v>
      </c>
      <c r="J36" s="34"/>
      <c r="K36" s="34"/>
    </row>
    <row r="37" spans="1:60" x14ac:dyDescent="0.25">
      <c r="A37" s="10">
        <v>5.5679999999999996</v>
      </c>
      <c r="B37" s="10"/>
      <c r="C37" s="30">
        <v>30601</v>
      </c>
      <c r="D37" s="5">
        <v>91700.39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833.87730297937264</v>
      </c>
      <c r="F37" s="14">
        <f t="shared" si="1"/>
        <v>-84.115346456662905</v>
      </c>
      <c r="J37" s="34"/>
      <c r="K37" s="34"/>
    </row>
    <row r="38" spans="1:60" x14ac:dyDescent="0.25">
      <c r="A38" s="10">
        <v>5.76</v>
      </c>
      <c r="B38" s="10"/>
      <c r="C38" s="30">
        <v>30606</v>
      </c>
      <c r="D38" s="5">
        <v>91686.81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835.10295654664162</v>
      </c>
      <c r="F38" s="14">
        <f t="shared" si="1"/>
        <v>-82.889692889393928</v>
      </c>
      <c r="J38" s="34"/>
      <c r="K38" s="34"/>
    </row>
    <row r="39" spans="1:60" x14ac:dyDescent="0.25">
      <c r="A39" s="10">
        <v>5.952</v>
      </c>
      <c r="B39" s="10"/>
      <c r="C39" s="30">
        <v>30607</v>
      </c>
      <c r="D39" s="5">
        <v>91684.11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835.34666070923424</v>
      </c>
      <c r="F39" s="14">
        <f t="shared" si="1"/>
        <v>-82.645988726801306</v>
      </c>
      <c r="J39" s="34"/>
      <c r="K39" s="34"/>
    </row>
    <row r="40" spans="1:60" x14ac:dyDescent="0.25">
      <c r="A40" s="10">
        <v>6.1440000000000001</v>
      </c>
      <c r="B40" s="10"/>
      <c r="C40" s="30">
        <v>30611</v>
      </c>
      <c r="D40" s="5">
        <v>91673.24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836.32785441290673</v>
      </c>
      <c r="F40" s="14">
        <f t="shared" si="1"/>
        <v>-81.664795023128818</v>
      </c>
      <c r="J40" s="34"/>
      <c r="K40" s="34"/>
    </row>
    <row r="41" spans="1:60" x14ac:dyDescent="0.25">
      <c r="A41" s="10">
        <v>6.3360000000000003</v>
      </c>
      <c r="B41" s="10"/>
      <c r="C41" s="30">
        <v>30612</v>
      </c>
      <c r="D41" s="5">
        <v>91670.53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836.57249051336487</v>
      </c>
      <c r="F41" s="14">
        <f t="shared" si="1"/>
        <v>-81.42015892267068</v>
      </c>
      <c r="J41" s="34"/>
      <c r="K41" s="34"/>
    </row>
    <row r="42" spans="1:60" x14ac:dyDescent="0.25">
      <c r="A42" s="10">
        <v>6.5279999999999996</v>
      </c>
      <c r="B42" s="10"/>
      <c r="C42" s="30">
        <v>30616</v>
      </c>
      <c r="D42" s="5">
        <v>91659.67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837.55289910654824</v>
      </c>
      <c r="F42" s="14">
        <f t="shared" si="1"/>
        <v>-80.43975032948731</v>
      </c>
      <c r="J42" s="34"/>
      <c r="K42" s="34"/>
    </row>
    <row r="43" spans="1:60" x14ac:dyDescent="0.25">
      <c r="A43" s="10">
        <v>6.72</v>
      </c>
      <c r="B43" s="10"/>
      <c r="C43" s="30">
        <v>30614</v>
      </c>
      <c r="D43" s="5">
        <v>91665.1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837.06268305321623</v>
      </c>
      <c r="F43" s="14">
        <f t="shared" si="1"/>
        <v>-80.929966382819316</v>
      </c>
      <c r="J43" s="34"/>
      <c r="K43" s="34"/>
    </row>
    <row r="44" spans="1:60" x14ac:dyDescent="0.25">
      <c r="A44" s="10">
        <v>6.9119999999999999</v>
      </c>
      <c r="B44" s="10"/>
      <c r="C44" s="30">
        <v>30618</v>
      </c>
      <c r="D44" s="5">
        <v>91654.24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838.04313867587075</v>
      </c>
      <c r="F44" s="14">
        <f t="shared" si="1"/>
        <v>-79.949510760164799</v>
      </c>
      <c r="J44" s="34"/>
      <c r="K44" s="34"/>
    </row>
    <row r="45" spans="1:60" x14ac:dyDescent="0.25">
      <c r="A45" s="10">
        <v>7.1040000000000001</v>
      </c>
      <c r="B45" s="10"/>
      <c r="C45" s="30">
        <v>30621</v>
      </c>
      <c r="D45" s="5">
        <v>91646.1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838.77809066690543</v>
      </c>
      <c r="F45" s="14">
        <f t="shared" si="1"/>
        <v>-79.214558769130122</v>
      </c>
      <c r="J45" s="34"/>
      <c r="K45" s="34"/>
    </row>
    <row r="46" spans="1:60" x14ac:dyDescent="0.25">
      <c r="A46" s="10">
        <v>7.2959999999999896</v>
      </c>
      <c r="B46" s="10"/>
      <c r="C46" s="30">
        <v>30623</v>
      </c>
      <c r="D46" s="5">
        <v>91640.67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839.26838901558347</v>
      </c>
      <c r="F46" s="14">
        <f t="shared" si="1"/>
        <v>-78.724260420452083</v>
      </c>
      <c r="J46" s="34"/>
      <c r="K46" s="34"/>
    </row>
    <row r="47" spans="1:60" x14ac:dyDescent="0.25">
      <c r="A47" s="10">
        <v>7.4879999999999898</v>
      </c>
      <c r="B47" s="10"/>
      <c r="C47" s="30">
        <v>30627</v>
      </c>
      <c r="D47" s="5">
        <v>91629.81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840.24905628992508</v>
      </c>
      <c r="F47" s="14">
        <f t="shared" si="1"/>
        <v>-77.74359314611047</v>
      </c>
      <c r="J47" s="34"/>
      <c r="K47" s="34"/>
    </row>
    <row r="48" spans="1:60" x14ac:dyDescent="0.25">
      <c r="A48" s="10">
        <v>7.6799999999999899</v>
      </c>
      <c r="B48" s="10"/>
      <c r="C48" s="30">
        <v>30631</v>
      </c>
      <c r="D48" s="5">
        <v>91618.95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841.22981768372142</v>
      </c>
      <c r="F48" s="14">
        <f t="shared" si="1"/>
        <v>-76.762831752314128</v>
      </c>
      <c r="J48" s="34"/>
      <c r="K48" s="34"/>
    </row>
    <row r="49" spans="1:11" x14ac:dyDescent="0.25">
      <c r="A49" s="10">
        <v>7.8719999999999901</v>
      </c>
      <c r="B49" s="10"/>
      <c r="C49" s="30">
        <v>30635</v>
      </c>
      <c r="D49" s="5">
        <v>91608.09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842.21067321716635</v>
      </c>
      <c r="F49" s="14">
        <f t="shared" si="1"/>
        <v>-75.781976218869204</v>
      </c>
      <c r="J49" s="34"/>
      <c r="K49" s="34"/>
    </row>
    <row r="50" spans="1:11" x14ac:dyDescent="0.25">
      <c r="A50" s="10">
        <v>8.0639999999999894</v>
      </c>
      <c r="B50" s="10"/>
      <c r="C50" s="30">
        <v>30639</v>
      </c>
      <c r="D50" s="5">
        <v>91597.24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843.1907195985475</v>
      </c>
      <c r="F50" s="14">
        <f t="shared" si="1"/>
        <v>-74.801929837488046</v>
      </c>
      <c r="J50" s="34"/>
      <c r="K50" s="34"/>
    </row>
    <row r="51" spans="1:11" x14ac:dyDescent="0.25">
      <c r="A51" s="10">
        <v>8.2559999999999896</v>
      </c>
      <c r="B51" s="10"/>
      <c r="C51" s="30">
        <v>30640</v>
      </c>
      <c r="D51" s="5">
        <v>91594.53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843.43552004826881</v>
      </c>
      <c r="F51" s="14">
        <f t="shared" si="1"/>
        <v>-74.557129387766736</v>
      </c>
      <c r="J51" s="34"/>
      <c r="K51" s="34"/>
    </row>
    <row r="52" spans="1:11" x14ac:dyDescent="0.25">
      <c r="A52" s="10">
        <v>8.4479999999999897</v>
      </c>
      <c r="B52" s="10"/>
      <c r="C52" s="30">
        <v>30645</v>
      </c>
      <c r="D52" s="5">
        <v>91580.95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844.66232060229686</v>
      </c>
      <c r="F52" s="14">
        <f t="shared" si="1"/>
        <v>-73.33032883373869</v>
      </c>
      <c r="J52" s="34"/>
      <c r="K52" s="34"/>
    </row>
    <row r="53" spans="1:11" x14ac:dyDescent="0.25">
      <c r="A53" s="10">
        <v>8.6399999999999899</v>
      </c>
      <c r="B53" s="10"/>
      <c r="C53" s="30">
        <v>30648</v>
      </c>
      <c r="D53" s="5">
        <v>91572.81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845.39774883638063</v>
      </c>
      <c r="F53" s="14">
        <f t="shared" si="1"/>
        <v>-72.59490059965492</v>
      </c>
      <c r="J53" s="34"/>
      <c r="K53" s="34"/>
    </row>
    <row r="54" spans="1:11" x14ac:dyDescent="0.25">
      <c r="A54" s="10">
        <v>8.8319999999999901</v>
      </c>
      <c r="B54" s="10"/>
      <c r="C54" s="30">
        <v>30653</v>
      </c>
      <c r="D54" s="5">
        <v>91559.23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846.62478502200122</v>
      </c>
      <c r="F54" s="14">
        <f t="shared" si="1"/>
        <v>-71.367864414034329</v>
      </c>
      <c r="J54" s="34"/>
      <c r="K54" s="34"/>
    </row>
    <row r="55" spans="1:11" x14ac:dyDescent="0.25">
      <c r="A55" s="10">
        <v>9.0239999999999903</v>
      </c>
      <c r="B55" s="10"/>
      <c r="C55" s="30">
        <v>30659</v>
      </c>
      <c r="D55" s="5">
        <v>91542.95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848.09597699061305</v>
      </c>
      <c r="F55" s="14">
        <f t="shared" si="1"/>
        <v>-69.896672445422496</v>
      </c>
      <c r="J55" s="34"/>
      <c r="K55" s="34"/>
    </row>
    <row r="56" spans="1:11" x14ac:dyDescent="0.25">
      <c r="A56" s="10">
        <v>9.2159999999999904</v>
      </c>
      <c r="B56" s="10"/>
      <c r="C56" s="30">
        <v>30665</v>
      </c>
      <c r="D56" s="5">
        <v>91526.66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849.56828470725873</v>
      </c>
      <c r="F56" s="14">
        <f t="shared" si="1"/>
        <v>-68.424364728776823</v>
      </c>
      <c r="J56" s="34"/>
      <c r="K56" s="34"/>
    </row>
    <row r="57" spans="1:11" x14ac:dyDescent="0.25">
      <c r="A57" s="10">
        <v>9.4079999999999906</v>
      </c>
      <c r="B57" s="10"/>
      <c r="C57" s="30">
        <v>30669</v>
      </c>
      <c r="D57" s="5">
        <v>91515.81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850.54903710749727</v>
      </c>
      <c r="F57" s="14">
        <f t="shared" si="1"/>
        <v>-67.443612328538279</v>
      </c>
      <c r="J57" s="34"/>
      <c r="K57" s="34"/>
    </row>
    <row r="58" spans="1:11" x14ac:dyDescent="0.25">
      <c r="A58" s="10">
        <v>9.5999999999999908</v>
      </c>
      <c r="B58" s="10"/>
      <c r="C58" s="30">
        <v>30675</v>
      </c>
      <c r="D58" s="5">
        <v>91499.520000000004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852.02169839997373</v>
      </c>
      <c r="F58" s="14">
        <f t="shared" si="1"/>
        <v>-65.97095103606182</v>
      </c>
      <c r="J58" s="34"/>
      <c r="K58" s="34"/>
    </row>
    <row r="59" spans="1:11" x14ac:dyDescent="0.25">
      <c r="A59" s="10">
        <v>9.7919999999999892</v>
      </c>
      <c r="B59" s="10"/>
      <c r="C59" s="30">
        <v>30680</v>
      </c>
      <c r="D59" s="5">
        <v>91485.95</v>
      </c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853.24862622494277</v>
      </c>
      <c r="F59" s="14">
        <f t="shared" si="1"/>
        <v>-64.744023211092781</v>
      </c>
      <c r="J59" s="34"/>
      <c r="K59" s="34"/>
    </row>
    <row r="60" spans="1:11" x14ac:dyDescent="0.25">
      <c r="A60" s="10">
        <v>9.9839999999999893</v>
      </c>
      <c r="B60" s="10"/>
      <c r="C60" s="30">
        <v>30683</v>
      </c>
      <c r="D60" s="5">
        <v>91477.81</v>
      </c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853.98467280251964</v>
      </c>
      <c r="F60" s="14">
        <f t="shared" si="1"/>
        <v>-64.007976633515909</v>
      </c>
      <c r="J60" s="34"/>
      <c r="K60" s="34"/>
    </row>
    <row r="61" spans="1:11" x14ac:dyDescent="0.25">
      <c r="A61" s="10">
        <v>10.176</v>
      </c>
      <c r="B61" s="10"/>
      <c r="C61" s="30">
        <v>30685</v>
      </c>
      <c r="D61" s="5">
        <v>91472.38</v>
      </c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854.47570142171742</v>
      </c>
      <c r="F61" s="14">
        <f t="shared" si="1"/>
        <v>-63.516948014318132</v>
      </c>
      <c r="J61" s="34"/>
      <c r="K61" s="34"/>
    </row>
    <row r="62" spans="1:11" x14ac:dyDescent="0.25">
      <c r="A62" s="10">
        <v>10.368</v>
      </c>
      <c r="B62" s="10"/>
      <c r="C62" s="30">
        <v>30689</v>
      </c>
      <c r="D62" s="5">
        <v>91461.52</v>
      </c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855.45782947226235</v>
      </c>
      <c r="F62" s="14">
        <f t="shared" si="1"/>
        <v>-62.534819963773202</v>
      </c>
      <c r="J62" s="34"/>
      <c r="K62" s="34"/>
    </row>
    <row r="63" spans="1:11" x14ac:dyDescent="0.25">
      <c r="A63" s="10">
        <v>10.56</v>
      </c>
      <c r="B63" s="10"/>
      <c r="C63" s="30">
        <v>30695</v>
      </c>
      <c r="D63" s="5">
        <v>91445.23</v>
      </c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856.93119861649768</v>
      </c>
      <c r="F63" s="14">
        <f t="shared" si="1"/>
        <v>-61.061450819537868</v>
      </c>
      <c r="J63" s="34"/>
      <c r="K63" s="34"/>
    </row>
    <row r="64" spans="1:11" x14ac:dyDescent="0.25">
      <c r="A64" s="10">
        <v>10.752000000000001</v>
      </c>
      <c r="B64" s="10"/>
      <c r="C64" s="30">
        <v>30697</v>
      </c>
      <c r="D64" s="5">
        <v>91439.81</v>
      </c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857.42146432194397</v>
      </c>
      <c r="F64" s="14">
        <f t="shared" si="1"/>
        <v>-60.571185114091577</v>
      </c>
      <c r="J64" s="34"/>
      <c r="K64" s="34"/>
    </row>
    <row r="65" spans="1:11" x14ac:dyDescent="0.25">
      <c r="A65" s="10">
        <v>10.944000000000001</v>
      </c>
      <c r="B65" s="10"/>
      <c r="C65" s="30">
        <v>30703</v>
      </c>
      <c r="D65" s="5">
        <v>91423.52</v>
      </c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858.89511674154573</v>
      </c>
      <c r="F65" s="14">
        <f t="shared" si="1"/>
        <v>-59.097532694489814</v>
      </c>
      <c r="J65" s="34"/>
      <c r="K65" s="34"/>
    </row>
    <row r="66" spans="1:11" x14ac:dyDescent="0.25">
      <c r="A66" s="10">
        <v>11.135999999999999</v>
      </c>
      <c r="B66" s="10"/>
      <c r="C66" s="30">
        <v>30713</v>
      </c>
      <c r="D66" s="5">
        <v>91396.38</v>
      </c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861.35077174310879</v>
      </c>
      <c r="F66" s="14">
        <f t="shared" si="1"/>
        <v>-56.641877692926755</v>
      </c>
      <c r="J66" s="34"/>
      <c r="K66" s="34"/>
    </row>
    <row r="67" spans="1:11" x14ac:dyDescent="0.25">
      <c r="A67" s="10">
        <v>11.327999999999999</v>
      </c>
      <c r="B67" s="10"/>
      <c r="C67" s="30">
        <v>30722</v>
      </c>
      <c r="D67" s="5">
        <v>91371.95</v>
      </c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863.56172818727225</v>
      </c>
      <c r="F67" s="14">
        <f t="shared" si="1"/>
        <v>-54.430921248763298</v>
      </c>
      <c r="J67" s="34"/>
      <c r="K67" s="34"/>
    </row>
    <row r="68" spans="1:11" x14ac:dyDescent="0.25">
      <c r="A68" s="10">
        <v>11.52</v>
      </c>
      <c r="B68" s="10"/>
      <c r="C68" s="30">
        <v>30728</v>
      </c>
      <c r="D68" s="5">
        <v>91355.67</v>
      </c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865.03536159430655</v>
      </c>
      <c r="F68" s="14">
        <f t="shared" si="1"/>
        <v>-52.957287841728999</v>
      </c>
      <c r="J68" s="34"/>
      <c r="K68" s="34"/>
    </row>
    <row r="69" spans="1:11" x14ac:dyDescent="0.25">
      <c r="A69" s="10">
        <v>11.712</v>
      </c>
      <c r="B69" s="10"/>
      <c r="C69" s="30">
        <v>30751</v>
      </c>
      <c r="D69" s="5">
        <v>91293.25</v>
      </c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870.68746796546236</v>
      </c>
      <c r="F69" s="14">
        <f t="shared" si="1"/>
        <v>-47.305181470573189</v>
      </c>
      <c r="J69" s="34"/>
      <c r="K69" s="34"/>
    </row>
    <row r="70" spans="1:11" x14ac:dyDescent="0.25">
      <c r="A70" s="10">
        <v>11.904</v>
      </c>
      <c r="B70" s="10"/>
      <c r="C70" s="30">
        <v>30765</v>
      </c>
      <c r="D70" s="5">
        <v>91255.25</v>
      </c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874.12988552576758</v>
      </c>
      <c r="F70" s="14">
        <f t="shared" si="1"/>
        <v>-43.862763910267972</v>
      </c>
      <c r="J70" s="34"/>
      <c r="K70" s="34"/>
    </row>
    <row r="71" spans="1:11" x14ac:dyDescent="0.25">
      <c r="A71" s="10">
        <v>12.096</v>
      </c>
      <c r="B71" s="10"/>
      <c r="C71" s="30">
        <v>30997</v>
      </c>
      <c r="D71" s="5">
        <v>90625.65</v>
      </c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931.33493556628457</v>
      </c>
      <c r="F71" s="14">
        <f t="shared" si="1"/>
        <v>13.342286130249022</v>
      </c>
      <c r="J71" s="34"/>
      <c r="K71" s="34"/>
    </row>
    <row r="72" spans="1:11" x14ac:dyDescent="0.25">
      <c r="A72" s="10">
        <v>12.288</v>
      </c>
      <c r="B72" s="10"/>
      <c r="C72" s="30">
        <v>31004</v>
      </c>
      <c r="D72" s="5">
        <v>90606.66</v>
      </c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933.06534799782492</v>
      </c>
      <c r="F72" s="14">
        <f t="shared" si="1"/>
        <v>15.072698561789366</v>
      </c>
      <c r="J72" s="34"/>
      <c r="K72" s="34"/>
    </row>
    <row r="73" spans="1:11" x14ac:dyDescent="0.25">
      <c r="A73" s="10">
        <v>12.48</v>
      </c>
      <c r="B73" s="10"/>
      <c r="C73" s="30">
        <v>31003</v>
      </c>
      <c r="D73" s="5">
        <v>90609.37</v>
      </c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932.8183886084222</v>
      </c>
      <c r="F73" s="14">
        <f t="shared" si="1"/>
        <v>14.825739172386648</v>
      </c>
      <c r="J73" s="34"/>
      <c r="K73" s="34"/>
    </row>
    <row r="74" spans="1:11" x14ac:dyDescent="0.25">
      <c r="A74" s="10">
        <v>12.672000000000001</v>
      </c>
      <c r="B74" s="10"/>
      <c r="C74" s="30">
        <v>31002</v>
      </c>
      <c r="D74" s="5">
        <v>90612.08</v>
      </c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932.57143519983492</v>
      </c>
      <c r="F74" s="14">
        <f t="shared" si="1"/>
        <v>14.578785763799374</v>
      </c>
      <c r="J74" s="34"/>
      <c r="K74" s="34"/>
    </row>
    <row r="75" spans="1:11" x14ac:dyDescent="0.25">
      <c r="A75" s="10">
        <v>12.864000000000001</v>
      </c>
      <c r="B75" s="10"/>
      <c r="C75" s="30">
        <v>30993</v>
      </c>
      <c r="D75" s="5">
        <v>90636.5</v>
      </c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930.34639043338166</v>
      </c>
      <c r="F75" s="14">
        <f t="shared" si="1"/>
        <v>12.353740997346108</v>
      </c>
      <c r="J75" s="34"/>
      <c r="K75" s="34"/>
    </row>
    <row r="76" spans="1:11" x14ac:dyDescent="0.25">
      <c r="A76" s="10">
        <v>13.055999999999999</v>
      </c>
      <c r="B76" s="10"/>
      <c r="C76" s="30">
        <v>30992</v>
      </c>
      <c r="D76" s="5">
        <v>90639.22</v>
      </c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930.09858584605854</v>
      </c>
      <c r="F76" s="14">
        <f t="shared" si="1"/>
        <v>12.105936410022991</v>
      </c>
      <c r="J76" s="34"/>
      <c r="K76" s="34"/>
    </row>
    <row r="77" spans="1:11" x14ac:dyDescent="0.25">
      <c r="A77" s="10">
        <v>13.247999999999999</v>
      </c>
      <c r="B77" s="10"/>
      <c r="C77" s="30">
        <v>30987</v>
      </c>
      <c r="D77" s="5">
        <v>90652.78</v>
      </c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928.86329692336517</v>
      </c>
      <c r="F77" s="14">
        <f t="shared" si="1"/>
        <v>10.87064748732962</v>
      </c>
      <c r="J77" s="34"/>
      <c r="K77" s="34"/>
    </row>
    <row r="78" spans="1:11" x14ac:dyDescent="0.25">
      <c r="A78" s="10">
        <v>13.44</v>
      </c>
      <c r="B78" s="10"/>
      <c r="C78" s="30">
        <v>30997</v>
      </c>
      <c r="D78" s="5">
        <v>90625.65</v>
      </c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931.33493556628457</v>
      </c>
      <c r="F78" s="14">
        <f t="shared" si="1"/>
        <v>13.342286130249022</v>
      </c>
      <c r="J78" s="34"/>
      <c r="K78" s="34"/>
    </row>
    <row r="79" spans="1:11" x14ac:dyDescent="0.25">
      <c r="A79" s="10">
        <v>13.632</v>
      </c>
      <c r="B79" s="10"/>
      <c r="C79" s="30">
        <v>31000</v>
      </c>
      <c r="D79" s="5">
        <v>90617.51</v>
      </c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932.07663511182807</v>
      </c>
      <c r="F79" s="14">
        <f t="shared" si="1"/>
        <v>14.083985675792519</v>
      </c>
      <c r="J79" s="34"/>
      <c r="K79" s="34"/>
    </row>
    <row r="80" spans="1:11" x14ac:dyDescent="0.25">
      <c r="A80" s="10">
        <v>13.824</v>
      </c>
      <c r="B80" s="10"/>
      <c r="C80" s="30">
        <v>30812</v>
      </c>
      <c r="D80" s="5">
        <v>91127.69</v>
      </c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885.69403220865354</v>
      </c>
      <c r="F80" s="14">
        <f t="shared" si="1"/>
        <v>-32.29861722738201</v>
      </c>
      <c r="J80" s="34"/>
      <c r="K80" s="34"/>
    </row>
    <row r="81" spans="1:11" x14ac:dyDescent="0.25">
      <c r="A81" s="10">
        <v>14.016</v>
      </c>
      <c r="B81" s="10"/>
      <c r="C81" s="30">
        <v>30815</v>
      </c>
      <c r="D81" s="5">
        <v>91119.55</v>
      </c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886.43242114978034</v>
      </c>
      <c r="F81" s="14">
        <f t="shared" si="1"/>
        <v>-31.56022828625521</v>
      </c>
      <c r="J81" s="34"/>
      <c r="K81" s="34"/>
    </row>
    <row r="82" spans="1:11" x14ac:dyDescent="0.25">
      <c r="A82" s="10">
        <v>14.208</v>
      </c>
      <c r="B82" s="10"/>
      <c r="C82" s="30">
        <v>30815</v>
      </c>
      <c r="D82" s="5">
        <v>91119.55</v>
      </c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886.43242114978034</v>
      </c>
      <c r="F82" s="14">
        <f t="shared" si="1"/>
        <v>-31.56022828625521</v>
      </c>
      <c r="J82" s="34"/>
      <c r="K82" s="34"/>
    </row>
    <row r="83" spans="1:11" x14ac:dyDescent="0.25">
      <c r="A83" s="10">
        <v>14.4</v>
      </c>
      <c r="B83" s="10"/>
      <c r="C83" s="30">
        <v>30816</v>
      </c>
      <c r="D83" s="5">
        <v>91116.83</v>
      </c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886.67916744386173</v>
      </c>
      <c r="F83" s="14">
        <f t="shared" si="1"/>
        <v>-31.31348199217382</v>
      </c>
      <c r="J83" s="34"/>
      <c r="K83" s="34"/>
    </row>
    <row r="84" spans="1:11" x14ac:dyDescent="0.25">
      <c r="A84" s="10">
        <v>14.592000000000001</v>
      </c>
      <c r="B84" s="10"/>
      <c r="C84" s="30">
        <v>30814</v>
      </c>
      <c r="D84" s="5">
        <v>91122.26</v>
      </c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886.18658794246358</v>
      </c>
      <c r="F84" s="14">
        <f t="shared" si="1"/>
        <v>-31.806061493571974</v>
      </c>
      <c r="J84" s="34"/>
      <c r="K84" s="34"/>
    </row>
    <row r="85" spans="1:11" x14ac:dyDescent="0.25">
      <c r="A85" s="10">
        <v>14.784000000000001</v>
      </c>
      <c r="B85" s="10"/>
      <c r="C85" s="30">
        <v>30817</v>
      </c>
      <c r="D85" s="5">
        <v>91114.11</v>
      </c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886.92591970238891</v>
      </c>
      <c r="F85" s="14">
        <f t="shared" si="1"/>
        <v>-31.066729733646639</v>
      </c>
      <c r="J85" s="34"/>
      <c r="K85" s="34"/>
    </row>
    <row r="86" spans="1:11" x14ac:dyDescent="0.25">
      <c r="A86" s="10">
        <v>14.976000000000001</v>
      </c>
      <c r="B86" s="10"/>
      <c r="C86" s="30">
        <v>30817</v>
      </c>
      <c r="D86" s="5">
        <v>91114.11</v>
      </c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886.92591970238891</v>
      </c>
      <c r="F86" s="14">
        <f t="shared" si="1"/>
        <v>-31.066729733646639</v>
      </c>
      <c r="J86" s="34"/>
      <c r="K86" s="34"/>
    </row>
    <row r="87" spans="1:11" x14ac:dyDescent="0.25">
      <c r="A87" s="10">
        <v>15.167999999999999</v>
      </c>
      <c r="B87" s="10"/>
      <c r="C87" s="30">
        <v>30820</v>
      </c>
      <c r="D87" s="5">
        <v>91105.98</v>
      </c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887.66349050568533</v>
      </c>
      <c r="F87" s="14">
        <f t="shared" si="1"/>
        <v>-30.329158930350218</v>
      </c>
      <c r="J87" s="34"/>
      <c r="K87" s="34"/>
    </row>
    <row r="88" spans="1:11" x14ac:dyDescent="0.25">
      <c r="A88" s="10">
        <v>15.36</v>
      </c>
      <c r="B88" s="10"/>
      <c r="C88" s="30">
        <v>30819</v>
      </c>
      <c r="D88" s="5">
        <v>91108.69</v>
      </c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887.41762764973282</v>
      </c>
      <c r="F88" s="14">
        <f t="shared" si="1"/>
        <v>-30.575021786302727</v>
      </c>
      <c r="J88" s="34"/>
      <c r="K88" s="34"/>
    </row>
    <row r="89" spans="1:11" x14ac:dyDescent="0.25">
      <c r="A89" s="10">
        <v>15.552</v>
      </c>
      <c r="B89" s="10"/>
      <c r="C89" s="30">
        <v>30820</v>
      </c>
      <c r="D89" s="5">
        <v>91105.98</v>
      </c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887.66349050568533</v>
      </c>
      <c r="F89" s="14">
        <f t="shared" si="1"/>
        <v>-30.329158930350218</v>
      </c>
      <c r="J89" s="34"/>
      <c r="K89" s="34"/>
    </row>
    <row r="90" spans="1:11" x14ac:dyDescent="0.25">
      <c r="A90" s="10">
        <v>15.744</v>
      </c>
      <c r="B90" s="10"/>
      <c r="C90" s="30">
        <v>30821</v>
      </c>
      <c r="D90" s="5">
        <v>91103.27</v>
      </c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887.90935928358476</v>
      </c>
      <c r="F90" s="14">
        <f t="shared" si="1"/>
        <v>-30.083290152450786</v>
      </c>
      <c r="J90" s="34"/>
      <c r="K90" s="34"/>
    </row>
    <row r="91" spans="1:11" x14ac:dyDescent="0.25">
      <c r="A91" s="10">
        <v>15.936</v>
      </c>
      <c r="B91" s="10"/>
      <c r="C91" s="30">
        <v>30823</v>
      </c>
      <c r="D91" s="5">
        <v>91097.84</v>
      </c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888.40202192603533</v>
      </c>
      <c r="F91" s="14">
        <f t="shared" si="1"/>
        <v>-29.590627510000218</v>
      </c>
      <c r="J91" s="34"/>
      <c r="K91" s="34"/>
    </row>
    <row r="92" spans="1:11" x14ac:dyDescent="0.25">
      <c r="A92" s="10">
        <v>16.128</v>
      </c>
      <c r="B92" s="10"/>
      <c r="C92" s="30">
        <v>30823</v>
      </c>
      <c r="D92" s="5">
        <v>91097.84</v>
      </c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888.40202192603533</v>
      </c>
      <c r="F92" s="14">
        <f t="shared" si="1"/>
        <v>-29.590627510000218</v>
      </c>
      <c r="J92" s="34"/>
      <c r="K92" s="34"/>
    </row>
    <row r="93" spans="1:11" x14ac:dyDescent="0.25">
      <c r="A93" s="10">
        <v>16.32</v>
      </c>
      <c r="B93" s="10"/>
      <c r="C93" s="30">
        <v>30822</v>
      </c>
      <c r="D93" s="5">
        <v>91100.55</v>
      </c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888.15614128143488</v>
      </c>
      <c r="F93" s="14">
        <f t="shared" si="1"/>
        <v>-29.836508154600665</v>
      </c>
      <c r="J93" s="34"/>
      <c r="K93" s="34"/>
    </row>
    <row r="94" spans="1:11" x14ac:dyDescent="0.25">
      <c r="A94" s="10">
        <v>16.512</v>
      </c>
      <c r="B94" s="10"/>
      <c r="C94" s="30">
        <v>30825</v>
      </c>
      <c r="D94" s="5">
        <v>91092.41</v>
      </c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888.89470834760073</v>
      </c>
      <c r="F94" s="14">
        <f t="shared" si="1"/>
        <v>-29.097941088434823</v>
      </c>
      <c r="J94" s="34"/>
      <c r="K94" s="34"/>
    </row>
    <row r="95" spans="1:11" x14ac:dyDescent="0.25">
      <c r="A95" s="10">
        <v>16.704000000000001</v>
      </c>
      <c r="B95" s="10"/>
      <c r="C95" s="30">
        <v>30826</v>
      </c>
      <c r="D95" s="5">
        <v>91089.69</v>
      </c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889.1415141690037</v>
      </c>
      <c r="F95" s="14">
        <f t="shared" si="1"/>
        <v>-28.85113526703185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BH248"/>
  <sheetViews>
    <sheetView zoomScaleNormal="100" workbookViewId="0">
      <selection activeCell="D15" sqref="D15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28</v>
      </c>
      <c r="D1" s="42" t="s">
        <v>15</v>
      </c>
      <c r="E1" s="43">
        <v>42684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0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0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0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0</v>
      </c>
      <c r="F4" s="39">
        <f>E4-E3</f>
        <v>0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2048</v>
      </c>
      <c r="D8" s="11">
        <v>0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0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0</v>
      </c>
      <c r="D9" s="5">
        <v>0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0</v>
      </c>
      <c r="F9" s="14">
        <f t="shared" si="0"/>
        <v>0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32768</v>
      </c>
      <c r="D10" s="5">
        <v>0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0</v>
      </c>
      <c r="F10" s="14">
        <f t="shared" si="0"/>
        <v>0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0</v>
      </c>
      <c r="D11" s="5">
        <v>0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0</v>
      </c>
      <c r="F11" s="14">
        <f t="shared" si="0"/>
        <v>0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0</v>
      </c>
      <c r="D12" s="5">
        <v>0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0</v>
      </c>
      <c r="F12" s="14">
        <f t="shared" si="0"/>
        <v>0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0</v>
      </c>
      <c r="D13" s="5">
        <v>0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0</v>
      </c>
      <c r="F13" s="14">
        <f t="shared" si="0"/>
        <v>0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0</v>
      </c>
      <c r="D14" s="5">
        <v>0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0</v>
      </c>
      <c r="F14" s="14">
        <f t="shared" si="0"/>
        <v>0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0</v>
      </c>
      <c r="D15" s="5">
        <v>0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0</v>
      </c>
      <c r="F15" s="14">
        <f t="shared" si="0"/>
        <v>0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0</v>
      </c>
      <c r="D16" s="5">
        <v>0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0</v>
      </c>
      <c r="F16" s="14">
        <f t="shared" si="0"/>
        <v>0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0</v>
      </c>
      <c r="D17" s="5">
        <v>0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0</v>
      </c>
      <c r="F17" s="14">
        <f t="shared" si="0"/>
        <v>0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0</v>
      </c>
      <c r="D18" s="5">
        <v>0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0</v>
      </c>
      <c r="F18" s="14">
        <f t="shared" si="0"/>
        <v>0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0</v>
      </c>
      <c r="D19" s="5">
        <v>0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0</v>
      </c>
      <c r="F19" s="14">
        <f t="shared" si="0"/>
        <v>0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0</v>
      </c>
      <c r="D20" s="5">
        <v>0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0</v>
      </c>
      <c r="F20" s="14">
        <f t="shared" si="0"/>
        <v>0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0</v>
      </c>
      <c r="D21" s="5">
        <v>0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0</v>
      </c>
      <c r="F21" s="14">
        <f t="shared" si="0"/>
        <v>0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0</v>
      </c>
      <c r="D22" s="5">
        <v>0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0</v>
      </c>
      <c r="F22" s="14">
        <f t="shared" si="0"/>
        <v>0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0</v>
      </c>
      <c r="D23" s="5">
        <v>0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0</v>
      </c>
      <c r="F23" s="14">
        <f t="shared" si="0"/>
        <v>0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0</v>
      </c>
      <c r="D24" s="5">
        <v>0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0</v>
      </c>
      <c r="F24" s="14">
        <f t="shared" si="0"/>
        <v>0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0</v>
      </c>
      <c r="D25" s="5">
        <v>0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0</v>
      </c>
      <c r="F25" s="14">
        <f t="shared" si="0"/>
        <v>0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0</v>
      </c>
      <c r="D26" s="5">
        <v>0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0</v>
      </c>
      <c r="F26" s="14">
        <f t="shared" si="0"/>
        <v>0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0</v>
      </c>
      <c r="D27" s="5">
        <v>0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0</v>
      </c>
      <c r="F27" s="14">
        <f t="shared" si="0"/>
        <v>0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0</v>
      </c>
      <c r="D28" s="5">
        <v>0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0</v>
      </c>
      <c r="F28" s="14">
        <f t="shared" si="0"/>
        <v>0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0</v>
      </c>
      <c r="D29" s="5">
        <v>0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0</v>
      </c>
      <c r="F29" s="14">
        <f t="shared" si="0"/>
        <v>0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0</v>
      </c>
      <c r="D30" s="5">
        <v>0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0</v>
      </c>
      <c r="F30" s="14">
        <f t="shared" si="0"/>
        <v>0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0</v>
      </c>
      <c r="D31" s="5">
        <v>0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0</v>
      </c>
      <c r="F31" s="14">
        <f t="shared" si="0"/>
        <v>0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0</v>
      </c>
      <c r="D32" s="5">
        <v>0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0</v>
      </c>
      <c r="F32" s="14">
        <f t="shared" si="0"/>
        <v>0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0</v>
      </c>
      <c r="D33" s="5">
        <v>0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0</v>
      </c>
      <c r="F33" s="14">
        <f t="shared" si="0"/>
        <v>0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0</v>
      </c>
      <c r="D34" s="5">
        <v>0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0</v>
      </c>
      <c r="F34" s="14">
        <f>IF(D34&lt;&gt;0,E34-$E$3,0)</f>
        <v>0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0</v>
      </c>
      <c r="D35" s="5">
        <v>0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0</v>
      </c>
      <c r="F35" s="14">
        <f t="shared" ref="F35:F98" si="1">IF(D35&lt;&gt;0,E35-$E$3,0)</f>
        <v>0</v>
      </c>
      <c r="J35" s="34"/>
      <c r="K35" s="34"/>
    </row>
    <row r="36" spans="1:60" x14ac:dyDescent="0.25">
      <c r="A36" s="10">
        <v>5.3760000000000003</v>
      </c>
      <c r="B36" s="10"/>
      <c r="C36" s="30">
        <v>0</v>
      </c>
      <c r="D36" s="5">
        <v>0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0</v>
      </c>
      <c r="F36" s="14">
        <f t="shared" si="1"/>
        <v>0</v>
      </c>
      <c r="J36" s="34"/>
      <c r="K36" s="34"/>
    </row>
    <row r="37" spans="1:60" x14ac:dyDescent="0.25">
      <c r="A37" s="10">
        <v>5.5679999999999996</v>
      </c>
      <c r="B37" s="10"/>
      <c r="C37" s="30">
        <v>0</v>
      </c>
      <c r="D37" s="5">
        <v>0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0</v>
      </c>
      <c r="F37" s="14">
        <f t="shared" si="1"/>
        <v>0</v>
      </c>
      <c r="J37" s="34"/>
      <c r="K37" s="34"/>
    </row>
    <row r="38" spans="1:60" x14ac:dyDescent="0.25">
      <c r="A38" s="10">
        <v>5.76</v>
      </c>
      <c r="B38" s="10"/>
      <c r="C38" s="30">
        <v>0</v>
      </c>
      <c r="D38" s="5">
        <v>0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0</v>
      </c>
      <c r="F38" s="14">
        <f t="shared" si="1"/>
        <v>0</v>
      </c>
      <c r="J38" s="34"/>
      <c r="K38" s="34"/>
    </row>
    <row r="39" spans="1:60" x14ac:dyDescent="0.25">
      <c r="A39" s="10">
        <v>5.952</v>
      </c>
      <c r="B39" s="10"/>
      <c r="C39" s="30">
        <v>0</v>
      </c>
      <c r="D39" s="5">
        <v>0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0</v>
      </c>
      <c r="F39" s="14">
        <f t="shared" si="1"/>
        <v>0</v>
      </c>
      <c r="J39" s="34"/>
      <c r="K39" s="34"/>
    </row>
    <row r="40" spans="1:60" x14ac:dyDescent="0.25">
      <c r="A40" s="10">
        <v>6.1440000000000001</v>
      </c>
      <c r="B40" s="10"/>
      <c r="C40" s="30">
        <v>0</v>
      </c>
      <c r="D40" s="5">
        <v>0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0</v>
      </c>
      <c r="F40" s="14">
        <f t="shared" si="1"/>
        <v>0</v>
      </c>
      <c r="J40" s="34"/>
      <c r="K40" s="34"/>
    </row>
    <row r="41" spans="1:60" x14ac:dyDescent="0.25">
      <c r="A41" s="10">
        <v>6.3360000000000003</v>
      </c>
      <c r="B41" s="10"/>
      <c r="C41" s="30">
        <v>0</v>
      </c>
      <c r="D41" s="5">
        <v>0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0</v>
      </c>
      <c r="F41" s="14">
        <f t="shared" si="1"/>
        <v>0</v>
      </c>
      <c r="J41" s="34"/>
      <c r="K41" s="34"/>
    </row>
    <row r="42" spans="1:60" x14ac:dyDescent="0.25">
      <c r="A42" s="10">
        <v>6.5279999999999996</v>
      </c>
      <c r="B42" s="10"/>
      <c r="C42" s="30">
        <v>0</v>
      </c>
      <c r="D42" s="5">
        <v>0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0</v>
      </c>
      <c r="F42" s="14">
        <f t="shared" si="1"/>
        <v>0</v>
      </c>
      <c r="J42" s="34"/>
      <c r="K42" s="34"/>
    </row>
    <row r="43" spans="1:60" x14ac:dyDescent="0.25">
      <c r="A43" s="10">
        <v>6.72</v>
      </c>
      <c r="B43" s="10"/>
      <c r="C43" s="30">
        <v>0</v>
      </c>
      <c r="D43" s="5">
        <v>0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0</v>
      </c>
      <c r="F43" s="14">
        <f t="shared" si="1"/>
        <v>0</v>
      </c>
      <c r="J43" s="34"/>
      <c r="K43" s="34"/>
    </row>
    <row r="44" spans="1:60" x14ac:dyDescent="0.25">
      <c r="A44" s="10">
        <v>6.9119999999999999</v>
      </c>
      <c r="B44" s="10"/>
      <c r="C44" s="30">
        <v>0</v>
      </c>
      <c r="D44" s="5">
        <v>0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f t="shared" si="1"/>
        <v>0</v>
      </c>
      <c r="J44" s="34"/>
      <c r="K44" s="34"/>
    </row>
    <row r="45" spans="1:60" x14ac:dyDescent="0.25">
      <c r="A45" s="10">
        <v>7.1040000000000001</v>
      </c>
      <c r="B45" s="10"/>
      <c r="C45" s="30">
        <v>0</v>
      </c>
      <c r="D45" s="5">
        <v>0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f t="shared" si="1"/>
        <v>0</v>
      </c>
      <c r="J45" s="34"/>
      <c r="K45" s="34"/>
    </row>
    <row r="46" spans="1:60" x14ac:dyDescent="0.25">
      <c r="A46" s="10">
        <v>7.2959999999999896</v>
      </c>
      <c r="B46" s="10"/>
      <c r="C46" s="30">
        <v>0</v>
      </c>
      <c r="D46" s="5">
        <v>0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f t="shared" si="1"/>
        <v>0</v>
      </c>
      <c r="J46" s="34"/>
      <c r="K46" s="34"/>
    </row>
    <row r="47" spans="1:60" x14ac:dyDescent="0.25">
      <c r="A47" s="10">
        <v>7.4879999999999898</v>
      </c>
      <c r="B47" s="10"/>
      <c r="C47" s="30">
        <v>0</v>
      </c>
      <c r="D47" s="5">
        <v>0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f t="shared" si="1"/>
        <v>0</v>
      </c>
      <c r="J47" s="34"/>
      <c r="K47" s="34"/>
    </row>
    <row r="48" spans="1:60" x14ac:dyDescent="0.25">
      <c r="A48" s="10">
        <v>7.6799999999999899</v>
      </c>
      <c r="B48" s="10"/>
      <c r="C48" s="30">
        <v>0</v>
      </c>
      <c r="D48" s="5">
        <v>0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f t="shared" si="1"/>
        <v>0</v>
      </c>
      <c r="J48" s="34"/>
      <c r="K48" s="34"/>
    </row>
    <row r="49" spans="1:11" x14ac:dyDescent="0.25">
      <c r="A49" s="10">
        <v>7.8719999999999901</v>
      </c>
      <c r="B49" s="10"/>
      <c r="C49" s="30">
        <v>0</v>
      </c>
      <c r="D49" s="5">
        <v>0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>
        <v>0</v>
      </c>
      <c r="D50" s="5">
        <v>0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>
        <v>0</v>
      </c>
      <c r="D51" s="5">
        <v>0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>
        <v>0</v>
      </c>
      <c r="D52" s="5">
        <v>0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>
        <v>0</v>
      </c>
      <c r="D53" s="5">
        <v>0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>
        <v>0</v>
      </c>
      <c r="D54" s="5">
        <v>0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>
        <v>0</v>
      </c>
      <c r="D55" s="5">
        <v>0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>
        <v>0</v>
      </c>
      <c r="D56" s="5">
        <v>0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>
        <v>0</v>
      </c>
      <c r="D57" s="5">
        <v>0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>
        <v>0</v>
      </c>
      <c r="D58" s="5">
        <v>0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>
        <v>0</v>
      </c>
      <c r="D59" s="5">
        <v>0</v>
      </c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>
        <v>0</v>
      </c>
      <c r="D60" s="5">
        <v>0</v>
      </c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>
        <v>0</v>
      </c>
      <c r="D61" s="5">
        <v>0</v>
      </c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>
        <v>0</v>
      </c>
      <c r="D62" s="5">
        <v>0</v>
      </c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>
        <v>0</v>
      </c>
      <c r="D63" s="5">
        <v>0</v>
      </c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>
        <v>0</v>
      </c>
      <c r="D64" s="5">
        <v>0</v>
      </c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>
        <v>0</v>
      </c>
      <c r="D65" s="5">
        <v>0</v>
      </c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>
        <v>0</v>
      </c>
      <c r="D66" s="5">
        <v>0</v>
      </c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>
        <v>0</v>
      </c>
      <c r="D67" s="5">
        <v>0</v>
      </c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>
        <v>0</v>
      </c>
      <c r="D68" s="5">
        <v>0</v>
      </c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>
        <v>0</v>
      </c>
      <c r="D69" s="5">
        <v>0</v>
      </c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>
        <v>0</v>
      </c>
      <c r="D70" s="5">
        <v>0</v>
      </c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>
        <v>0</v>
      </c>
      <c r="D71" s="5">
        <v>0</v>
      </c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>
        <v>0</v>
      </c>
      <c r="D72" s="5">
        <v>0</v>
      </c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>
        <v>0</v>
      </c>
      <c r="D73" s="5">
        <v>0</v>
      </c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>
        <v>0</v>
      </c>
      <c r="D74" s="5">
        <v>0</v>
      </c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>
        <v>0</v>
      </c>
      <c r="D75" s="5">
        <v>0</v>
      </c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>
        <v>0</v>
      </c>
      <c r="D76" s="5">
        <v>0</v>
      </c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>
        <v>0</v>
      </c>
      <c r="D77" s="5">
        <v>0</v>
      </c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>
        <v>0</v>
      </c>
      <c r="D78" s="5">
        <v>0</v>
      </c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>
        <v>0</v>
      </c>
      <c r="D79" s="5">
        <v>0</v>
      </c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>
        <v>0</v>
      </c>
      <c r="D80" s="5">
        <v>0</v>
      </c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>
        <v>0</v>
      </c>
      <c r="D81" s="5">
        <v>0</v>
      </c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>
        <v>0</v>
      </c>
      <c r="D82" s="5">
        <v>0</v>
      </c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>
        <v>0</v>
      </c>
      <c r="D83" s="5">
        <v>0</v>
      </c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>
        <v>0</v>
      </c>
      <c r="D84" s="5">
        <v>0</v>
      </c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>
        <v>0</v>
      </c>
      <c r="D85" s="5">
        <v>0</v>
      </c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>
        <v>0</v>
      </c>
      <c r="D86" s="5">
        <v>0</v>
      </c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>
        <v>0</v>
      </c>
      <c r="D87" s="5">
        <v>0</v>
      </c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>
        <v>0</v>
      </c>
      <c r="D88" s="5">
        <v>0</v>
      </c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>
        <v>0</v>
      </c>
      <c r="D89" s="5">
        <v>0</v>
      </c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>
        <v>0</v>
      </c>
      <c r="D90" s="5">
        <v>0</v>
      </c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>
        <v>0</v>
      </c>
      <c r="D91" s="5">
        <v>0</v>
      </c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>
        <v>0</v>
      </c>
      <c r="D92" s="5">
        <v>0</v>
      </c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>
        <v>0</v>
      </c>
      <c r="D93" s="5">
        <v>0</v>
      </c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>
        <v>0</v>
      </c>
      <c r="D94" s="5">
        <v>0</v>
      </c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>
        <v>0</v>
      </c>
      <c r="D95" s="5">
        <v>0</v>
      </c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>
        <v>0</v>
      </c>
      <c r="D96" s="5">
        <v>0</v>
      </c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>
        <v>0</v>
      </c>
      <c r="D97" s="5">
        <v>0</v>
      </c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>
        <v>0</v>
      </c>
      <c r="D98" s="5">
        <v>0</v>
      </c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>
        <v>0</v>
      </c>
      <c r="D99" s="5">
        <v>0</v>
      </c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>
        <v>0</v>
      </c>
      <c r="D100" s="5">
        <v>0</v>
      </c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>
        <v>0</v>
      </c>
      <c r="D101" s="5">
        <v>0</v>
      </c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>
        <v>0</v>
      </c>
      <c r="D102" s="5">
        <v>0</v>
      </c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>
        <v>0</v>
      </c>
      <c r="D103" s="5">
        <v>0</v>
      </c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>
        <v>0</v>
      </c>
      <c r="D104" s="5">
        <v>0</v>
      </c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>
        <v>0</v>
      </c>
      <c r="D105" s="5">
        <v>0</v>
      </c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>
        <v>0</v>
      </c>
      <c r="D106" s="5">
        <v>0</v>
      </c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>
        <v>0</v>
      </c>
      <c r="D107" s="5">
        <v>0</v>
      </c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>
        <v>0</v>
      </c>
      <c r="D108" s="5">
        <v>0</v>
      </c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>
        <v>0</v>
      </c>
      <c r="D109" s="5">
        <v>0</v>
      </c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>
        <v>0</v>
      </c>
      <c r="D110" s="5">
        <v>0</v>
      </c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>
        <v>0</v>
      </c>
      <c r="D111" s="5">
        <v>0</v>
      </c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>
        <v>0</v>
      </c>
      <c r="D112" s="5">
        <v>0</v>
      </c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BH248"/>
  <sheetViews>
    <sheetView zoomScaleNormal="100" workbookViewId="0">
      <selection activeCell="D1" sqref="D1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29</v>
      </c>
      <c r="D1" s="42" t="s">
        <v>15</v>
      </c>
      <c r="E1" s="43">
        <v>42684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91039.360000000001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893.70940641276422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90963.06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900.63820691844649</v>
      </c>
      <c r="F4" s="39">
        <f>E4-E3</f>
        <v>6.9288005056822612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30971</v>
      </c>
      <c r="D8" s="11">
        <v>91039.360000000001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893.70940641276422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30967</v>
      </c>
      <c r="D9" s="5">
        <v>91050.25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892.72086935841037</v>
      </c>
      <c r="F9" s="14">
        <f t="shared" si="0"/>
        <v>-0.98853705435385564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30880</v>
      </c>
      <c r="D10" s="5">
        <v>91287.31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871.22549566708358</v>
      </c>
      <c r="F10" s="14">
        <f t="shared" si="0"/>
        <v>-22.483910745680646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30170</v>
      </c>
      <c r="D11" s="5">
        <v>93222.67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697.40743094785682</v>
      </c>
      <c r="F11" s="14">
        <f t="shared" si="0"/>
        <v>-196.3019754649074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30467</v>
      </c>
      <c r="D12" s="5">
        <v>92412.94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769.77181430530823</v>
      </c>
      <c r="F12" s="14">
        <f t="shared" si="0"/>
        <v>-123.937592107456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30952</v>
      </c>
      <c r="D13" s="5">
        <v>91091.13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889.01085152019709</v>
      </c>
      <c r="F13" s="14">
        <f t="shared" si="0"/>
        <v>-4.698554892567131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30951</v>
      </c>
      <c r="D14" s="5">
        <v>91093.84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888.76495620981927</v>
      </c>
      <c r="F14" s="14">
        <f t="shared" si="0"/>
        <v>-4.9444502029449495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30950</v>
      </c>
      <c r="D15" s="5">
        <v>91096.58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888.51634483322448</v>
      </c>
      <c r="F15" s="14">
        <f t="shared" si="0"/>
        <v>-5.1930615795397443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30934</v>
      </c>
      <c r="D16" s="5">
        <v>91140.17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884.56206048540685</v>
      </c>
      <c r="F16" s="14">
        <f t="shared" si="0"/>
        <v>-9.1473459273573781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30909</v>
      </c>
      <c r="D17" s="5">
        <v>91208.3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878.38468638191387</v>
      </c>
      <c r="F17" s="14">
        <f t="shared" si="0"/>
        <v>-15.324720030850358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30924</v>
      </c>
      <c r="D18" s="5">
        <v>91167.42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882.09084364164619</v>
      </c>
      <c r="F18" s="14">
        <f t="shared" si="0"/>
        <v>-11.618562771118036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30920</v>
      </c>
      <c r="D19" s="5">
        <v>91178.31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881.10343104406013</v>
      </c>
      <c r="F19" s="14">
        <f t="shared" si="0"/>
        <v>-12.605975368704094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30690</v>
      </c>
      <c r="D20" s="5">
        <v>91805.1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824.43170631628311</v>
      </c>
      <c r="F20" s="14">
        <f t="shared" si="0"/>
        <v>-69.277700096481112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30809</v>
      </c>
      <c r="D21" s="5">
        <v>91480.8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853.71430063692901</v>
      </c>
      <c r="F21" s="14">
        <f t="shared" si="0"/>
        <v>-39.995105775835214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30378</v>
      </c>
      <c r="D22" s="5">
        <v>92655.56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748.0355270950555</v>
      </c>
      <c r="F22" s="14">
        <f t="shared" si="0"/>
        <v>-145.67387931770872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30867</v>
      </c>
      <c r="D23" s="5">
        <v>91322.73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868.01767577258147</v>
      </c>
      <c r="F23" s="14">
        <f t="shared" si="0"/>
        <v>-25.691730640182755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30431</v>
      </c>
      <c r="D24" s="5">
        <v>92511.08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760.97390840486571</v>
      </c>
      <c r="F24" s="14">
        <f t="shared" si="0"/>
        <v>-132.73549800789851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30575</v>
      </c>
      <c r="D25" s="5">
        <v>92118.54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796.20920439073905</v>
      </c>
      <c r="F25" s="14">
        <f t="shared" si="0"/>
        <v>-97.500202022025178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30736</v>
      </c>
      <c r="D26" s="5">
        <v>91679.73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835.74201537794602</v>
      </c>
      <c r="F26" s="14">
        <f t="shared" si="0"/>
        <v>-57.967391034818206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30794</v>
      </c>
      <c r="D27" s="5">
        <v>91521.67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850.01932872664065</v>
      </c>
      <c r="F27" s="14">
        <f t="shared" si="0"/>
        <v>-43.690077686123573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30914</v>
      </c>
      <c r="D28" s="5">
        <v>91194.66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879.62113137565063</v>
      </c>
      <c r="F28" s="14">
        <f t="shared" si="0"/>
        <v>-14.08827503711359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30947</v>
      </c>
      <c r="D29" s="5">
        <v>91104.75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887.77508334988727</v>
      </c>
      <c r="F29" s="14">
        <f t="shared" si="0"/>
        <v>-5.9343230628769561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30950</v>
      </c>
      <c r="D30" s="5">
        <v>91096.58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888.51634483322448</v>
      </c>
      <c r="F30" s="14">
        <f t="shared" si="0"/>
        <v>-5.1930615795397443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30943</v>
      </c>
      <c r="D31" s="5">
        <v>91115.65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886.78621364702963</v>
      </c>
      <c r="F31" s="14">
        <f t="shared" si="0"/>
        <v>-6.9231927657345977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30936</v>
      </c>
      <c r="D32" s="5">
        <v>91134.720000000001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885.05637564722849</v>
      </c>
      <c r="F32" s="14">
        <f t="shared" si="0"/>
        <v>-8.6530307655357319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30954</v>
      </c>
      <c r="D33" s="5">
        <v>91085.67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889.50628958267657</v>
      </c>
      <c r="F33" s="14">
        <f t="shared" si="0"/>
        <v>-4.2031168300876516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30958</v>
      </c>
      <c r="D34" s="5">
        <v>91074.78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890.49451533830802</v>
      </c>
      <c r="F34" s="14">
        <f>IF(D34&lt;&gt;0,E34-$E$3,0)</f>
        <v>-3.2148910744562045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30972</v>
      </c>
      <c r="D35" s="5">
        <v>91036.63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893.95723649721651</v>
      </c>
      <c r="F35" s="14">
        <f t="shared" ref="F35:F98" si="1">IF(D35&lt;&gt;0,E35-$E$3,0)</f>
        <v>0.24783008445228916</v>
      </c>
      <c r="J35" s="34"/>
      <c r="K35" s="34"/>
    </row>
    <row r="36" spans="1:60" x14ac:dyDescent="0.25">
      <c r="A36" s="10">
        <v>5.3760000000000003</v>
      </c>
      <c r="B36" s="10"/>
      <c r="C36" s="30">
        <v>30971</v>
      </c>
      <c r="D36" s="5">
        <v>91039.360000000001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893.70940641276422</v>
      </c>
      <c r="F36" s="14">
        <f t="shared" si="1"/>
        <v>0</v>
      </c>
      <c r="J36" s="34"/>
      <c r="K36" s="34"/>
    </row>
    <row r="37" spans="1:60" x14ac:dyDescent="0.25">
      <c r="A37" s="10">
        <v>5.5679999999999996</v>
      </c>
      <c r="B37" s="10"/>
      <c r="C37" s="30">
        <v>30970</v>
      </c>
      <c r="D37" s="5">
        <v>91042.08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893.46249011543512</v>
      </c>
      <c r="F37" s="14">
        <f t="shared" si="1"/>
        <v>-0.24691629732910769</v>
      </c>
      <c r="J37" s="34"/>
      <c r="K37" s="34"/>
    </row>
    <row r="38" spans="1:60" x14ac:dyDescent="0.25">
      <c r="A38" s="10">
        <v>5.76</v>
      </c>
      <c r="B38" s="10"/>
      <c r="C38" s="30">
        <v>30959</v>
      </c>
      <c r="D38" s="5">
        <v>91072.05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890.7422673731221</v>
      </c>
      <c r="F38" s="14">
        <f t="shared" si="1"/>
        <v>-2.9671390396421202</v>
      </c>
      <c r="J38" s="34"/>
      <c r="K38" s="34"/>
    </row>
    <row r="39" spans="1:60" x14ac:dyDescent="0.25">
      <c r="A39" s="10">
        <v>5.952</v>
      </c>
      <c r="B39" s="10"/>
      <c r="C39" s="30">
        <v>30957</v>
      </c>
      <c r="D39" s="5">
        <v>91077.5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890.24767680050718</v>
      </c>
      <c r="F39" s="14">
        <f t="shared" si="1"/>
        <v>-3.4617296122570451</v>
      </c>
      <c r="J39" s="34"/>
      <c r="K39" s="34"/>
    </row>
    <row r="40" spans="1:60" x14ac:dyDescent="0.25">
      <c r="A40" s="10">
        <v>6.1440000000000001</v>
      </c>
      <c r="B40" s="10"/>
      <c r="C40" s="30">
        <v>30949</v>
      </c>
      <c r="D40" s="5">
        <v>91099.3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888.26955412699476</v>
      </c>
      <c r="F40" s="14">
        <f t="shared" si="1"/>
        <v>-5.4398522857694616</v>
      </c>
      <c r="J40" s="34"/>
      <c r="K40" s="34"/>
    </row>
    <row r="41" spans="1:60" x14ac:dyDescent="0.25">
      <c r="A41" s="10">
        <v>6.3360000000000003</v>
      </c>
      <c r="B41" s="10"/>
      <c r="C41" s="30">
        <v>30961</v>
      </c>
      <c r="D41" s="5">
        <v>91066.6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891.23688191262465</v>
      </c>
      <c r="F41" s="14">
        <f t="shared" si="1"/>
        <v>-2.4725245001395706</v>
      </c>
      <c r="J41" s="34"/>
      <c r="K41" s="34"/>
    </row>
    <row r="42" spans="1:60" x14ac:dyDescent="0.25">
      <c r="A42" s="10">
        <v>6.5279999999999996</v>
      </c>
      <c r="B42" s="10"/>
      <c r="C42" s="30">
        <v>30963</v>
      </c>
      <c r="D42" s="5">
        <v>91061.15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891.73152042160859</v>
      </c>
      <c r="F42" s="14">
        <f t="shared" si="1"/>
        <v>-1.977885991155631</v>
      </c>
      <c r="J42" s="34"/>
      <c r="K42" s="34"/>
    </row>
    <row r="43" spans="1:60" x14ac:dyDescent="0.25">
      <c r="A43" s="10">
        <v>6.72</v>
      </c>
      <c r="B43" s="10"/>
      <c r="C43" s="30">
        <v>30787</v>
      </c>
      <c r="D43" s="5">
        <v>91540.75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848.29480296483484</v>
      </c>
      <c r="F43" s="14">
        <f t="shared" si="1"/>
        <v>-45.41460344792938</v>
      </c>
      <c r="J43" s="34"/>
      <c r="K43" s="34"/>
    </row>
    <row r="44" spans="1:60" x14ac:dyDescent="0.25">
      <c r="A44" s="10">
        <v>6.9119999999999999</v>
      </c>
      <c r="B44" s="10"/>
      <c r="C44" s="30">
        <v>30731</v>
      </c>
      <c r="D44" s="5">
        <v>91693.36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834.51177244789812</v>
      </c>
      <c r="F44" s="14">
        <f t="shared" si="1"/>
        <v>-59.1976339648661</v>
      </c>
      <c r="J44" s="34"/>
      <c r="K44" s="34"/>
    </row>
    <row r="45" spans="1:60" x14ac:dyDescent="0.25">
      <c r="A45" s="10">
        <v>7.1040000000000001</v>
      </c>
      <c r="B45" s="10"/>
      <c r="C45" s="30">
        <v>30788</v>
      </c>
      <c r="D45" s="5">
        <v>91538.02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848.54153330353904</v>
      </c>
      <c r="F45" s="14">
        <f t="shared" si="1"/>
        <v>-45.167873109225184</v>
      </c>
      <c r="J45" s="34"/>
      <c r="K45" s="34"/>
    </row>
    <row r="46" spans="1:60" x14ac:dyDescent="0.25">
      <c r="A46" s="10">
        <v>7.2959999999999896</v>
      </c>
      <c r="B46" s="10"/>
      <c r="C46" s="30">
        <v>30846</v>
      </c>
      <c r="D46" s="5">
        <v>91379.97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862.83585181086471</v>
      </c>
      <c r="F46" s="14">
        <f t="shared" si="1"/>
        <v>-30.873554601899514</v>
      </c>
      <c r="J46" s="34"/>
      <c r="K46" s="34"/>
    </row>
    <row r="47" spans="1:60" x14ac:dyDescent="0.25">
      <c r="A47" s="10">
        <v>7.4879999999999898</v>
      </c>
      <c r="B47" s="10"/>
      <c r="C47" s="30">
        <v>30796</v>
      </c>
      <c r="D47" s="5">
        <v>91516.22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850.51197470605189</v>
      </c>
      <c r="F47" s="14">
        <f t="shared" si="1"/>
        <v>-43.197431706712337</v>
      </c>
      <c r="J47" s="34"/>
      <c r="K47" s="34"/>
    </row>
    <row r="48" spans="1:60" x14ac:dyDescent="0.25">
      <c r="A48" s="10">
        <v>7.6799999999999899</v>
      </c>
      <c r="B48" s="10"/>
      <c r="C48" s="30">
        <v>30645</v>
      </c>
      <c r="D48" s="5">
        <v>91927.75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813.37887946640922</v>
      </c>
      <c r="F48" s="14">
        <f t="shared" si="1"/>
        <v>-80.330526946355008</v>
      </c>
      <c r="J48" s="34"/>
      <c r="K48" s="34"/>
    </row>
    <row r="49" spans="1:11" x14ac:dyDescent="0.25">
      <c r="A49" s="10">
        <v>7.8719999999999901</v>
      </c>
      <c r="B49" s="10"/>
      <c r="C49" s="30">
        <v>30854</v>
      </c>
      <c r="D49" s="5">
        <v>91358.16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864.80995794434887</v>
      </c>
      <c r="F49" s="14">
        <f t="shared" si="1"/>
        <v>-28.899448468415358</v>
      </c>
      <c r="J49" s="34"/>
      <c r="K49" s="34"/>
    </row>
    <row r="50" spans="1:11" x14ac:dyDescent="0.25">
      <c r="A50" s="10">
        <v>8.0639999999999894</v>
      </c>
      <c r="B50" s="10"/>
      <c r="C50" s="30">
        <v>30879</v>
      </c>
      <c r="D50" s="5">
        <v>91290.04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870.97821678899675</v>
      </c>
      <c r="F50" s="14">
        <f t="shared" si="1"/>
        <v>-22.731189623767477</v>
      </c>
      <c r="J50" s="34"/>
      <c r="K50" s="34"/>
    </row>
    <row r="51" spans="1:11" x14ac:dyDescent="0.25">
      <c r="A51" s="10">
        <v>8.2559999999999896</v>
      </c>
      <c r="B51" s="10"/>
      <c r="C51" s="30">
        <v>30537</v>
      </c>
      <c r="D51" s="5">
        <v>92222.13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786.89893628490381</v>
      </c>
      <c r="F51" s="14">
        <f t="shared" si="1"/>
        <v>-106.81047012786041</v>
      </c>
      <c r="J51" s="34"/>
      <c r="K51" s="34"/>
    </row>
    <row r="52" spans="1:11" x14ac:dyDescent="0.25">
      <c r="A52" s="10">
        <v>8.4479999999999897</v>
      </c>
      <c r="B52" s="10"/>
      <c r="C52" s="30">
        <v>30564</v>
      </c>
      <c r="D52" s="5">
        <v>92148.52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793.51384671164067</v>
      </c>
      <c r="F52" s="14">
        <f t="shared" si="1"/>
        <v>-100.19555970112356</v>
      </c>
      <c r="J52" s="34"/>
      <c r="K52" s="34"/>
    </row>
    <row r="53" spans="1:11" x14ac:dyDescent="0.25">
      <c r="A53" s="10">
        <v>8.6399999999999899</v>
      </c>
      <c r="B53" s="10"/>
      <c r="C53" s="30">
        <v>30435</v>
      </c>
      <c r="D53" s="5">
        <v>92500.17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761.9515780618151</v>
      </c>
      <c r="F53" s="14">
        <f t="shared" si="1"/>
        <v>-131.75782835094913</v>
      </c>
      <c r="J53" s="34"/>
      <c r="K53" s="34"/>
    </row>
    <row r="54" spans="1:11" x14ac:dyDescent="0.25">
      <c r="A54" s="10">
        <v>8.8319999999999901</v>
      </c>
      <c r="B54" s="10"/>
      <c r="C54" s="30">
        <v>30669</v>
      </c>
      <c r="D54" s="5">
        <v>91862.34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819.27193303847298</v>
      </c>
      <c r="F54" s="14">
        <f t="shared" si="1"/>
        <v>-74.437473374291244</v>
      </c>
      <c r="J54" s="34"/>
      <c r="K54" s="34"/>
    </row>
    <row r="55" spans="1:11" x14ac:dyDescent="0.25">
      <c r="A55" s="10">
        <v>9.0239999999999903</v>
      </c>
      <c r="B55" s="10"/>
      <c r="C55" s="30">
        <v>30731</v>
      </c>
      <c r="D55" s="5">
        <v>91693.36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834.51177244789812</v>
      </c>
      <c r="F55" s="14">
        <f t="shared" si="1"/>
        <v>-59.1976339648661</v>
      </c>
      <c r="J55" s="34"/>
      <c r="K55" s="34"/>
    </row>
    <row r="56" spans="1:11" x14ac:dyDescent="0.25">
      <c r="A56" s="10">
        <v>9.2159999999999904</v>
      </c>
      <c r="B56" s="10"/>
      <c r="C56" s="30">
        <v>30752</v>
      </c>
      <c r="D56" s="5">
        <v>91636.13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839.67834344512403</v>
      </c>
      <c r="F56" s="14">
        <f t="shared" si="1"/>
        <v>-54.031062967640196</v>
      </c>
      <c r="J56" s="34"/>
      <c r="K56" s="34"/>
    </row>
    <row r="57" spans="1:11" x14ac:dyDescent="0.25">
      <c r="A57" s="10">
        <v>9.4079999999999906</v>
      </c>
      <c r="B57" s="10"/>
      <c r="C57" s="30">
        <v>30467</v>
      </c>
      <c r="D57" s="5">
        <v>92412.94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769.77181430530823</v>
      </c>
      <c r="F57" s="14">
        <f t="shared" si="1"/>
        <v>-123.937592107456</v>
      </c>
      <c r="J57" s="34"/>
      <c r="K57" s="34"/>
    </row>
    <row r="58" spans="1:11" x14ac:dyDescent="0.25">
      <c r="A58" s="10">
        <v>9.5999999999999908</v>
      </c>
      <c r="B58" s="10"/>
      <c r="C58" s="30">
        <v>30626</v>
      </c>
      <c r="D58" s="5">
        <v>91979.53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808.71621546086192</v>
      </c>
      <c r="F58" s="14">
        <f t="shared" si="1"/>
        <v>-84.993190951902307</v>
      </c>
      <c r="J58" s="34"/>
      <c r="K58" s="34"/>
    </row>
    <row r="59" spans="1:11" x14ac:dyDescent="0.25">
      <c r="A59" s="10">
        <v>9.7919999999999892</v>
      </c>
      <c r="B59" s="10"/>
      <c r="C59" s="30">
        <v>30803</v>
      </c>
      <c r="D59" s="5">
        <v>91497.14</v>
      </c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852.23687479147145</v>
      </c>
      <c r="F59" s="14">
        <f t="shared" si="1"/>
        <v>-41.472531621292774</v>
      </c>
      <c r="J59" s="34"/>
      <c r="K59" s="34"/>
    </row>
    <row r="60" spans="1:11" x14ac:dyDescent="0.25">
      <c r="A60" s="10">
        <v>9.9839999999999893</v>
      </c>
      <c r="B60" s="10"/>
      <c r="C60" s="30">
        <v>30689</v>
      </c>
      <c r="D60" s="5">
        <v>91807.83</v>
      </c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824.1855573505353</v>
      </c>
      <c r="F60" s="14">
        <f t="shared" si="1"/>
        <v>-69.523849062228919</v>
      </c>
      <c r="J60" s="34"/>
      <c r="K60" s="34"/>
    </row>
    <row r="61" spans="1:11" x14ac:dyDescent="0.25">
      <c r="A61" s="10">
        <v>10.176</v>
      </c>
      <c r="B61" s="10"/>
      <c r="C61" s="30">
        <v>30724</v>
      </c>
      <c r="D61" s="5">
        <v>91712.44</v>
      </c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832.78986157280781</v>
      </c>
      <c r="F61" s="14">
        <f t="shared" si="1"/>
        <v>-60.919544839956416</v>
      </c>
      <c r="J61" s="34"/>
      <c r="K61" s="34"/>
    </row>
    <row r="62" spans="1:11" x14ac:dyDescent="0.25">
      <c r="A62" s="10">
        <v>10.368</v>
      </c>
      <c r="B62" s="10"/>
      <c r="C62" s="30">
        <v>30906</v>
      </c>
      <c r="D62" s="5">
        <v>91216.47</v>
      </c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877.64416016212078</v>
      </c>
      <c r="F62" s="14">
        <f t="shared" si="1"/>
        <v>-16.06524625064344</v>
      </c>
      <c r="J62" s="34"/>
      <c r="K62" s="34"/>
    </row>
    <row r="63" spans="1:11" x14ac:dyDescent="0.25">
      <c r="A63" s="10">
        <v>10.56</v>
      </c>
      <c r="B63" s="10"/>
      <c r="C63" s="30">
        <v>30897</v>
      </c>
      <c r="D63" s="5">
        <v>91240.98</v>
      </c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875.42290369986426</v>
      </c>
      <c r="F63" s="14">
        <f t="shared" si="1"/>
        <v>-18.28650271289996</v>
      </c>
      <c r="J63" s="34"/>
      <c r="K63" s="34"/>
    </row>
    <row r="64" spans="1:11" x14ac:dyDescent="0.25">
      <c r="A64" s="10">
        <v>10.752000000000001</v>
      </c>
      <c r="B64" s="10"/>
      <c r="C64" s="30">
        <v>30125</v>
      </c>
      <c r="D64" s="5">
        <v>93345.38</v>
      </c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686.48546932284944</v>
      </c>
      <c r="F64" s="14">
        <f t="shared" si="1"/>
        <v>-207.22393708991478</v>
      </c>
      <c r="J64" s="34"/>
      <c r="K64" s="34"/>
    </row>
    <row r="65" spans="1:11" x14ac:dyDescent="0.25">
      <c r="A65" s="10">
        <v>10.944000000000001</v>
      </c>
      <c r="B65" s="10"/>
      <c r="C65" s="30">
        <v>30740</v>
      </c>
      <c r="D65" s="5">
        <v>91668.83</v>
      </c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836.72595526279281</v>
      </c>
      <c r="F65" s="14">
        <f t="shared" si="1"/>
        <v>-56.983451149971415</v>
      </c>
      <c r="J65" s="34"/>
      <c r="K65" s="34"/>
    </row>
    <row r="66" spans="1:11" x14ac:dyDescent="0.25">
      <c r="A66" s="10">
        <v>11.135999999999999</v>
      </c>
      <c r="B66" s="10"/>
      <c r="C66" s="30">
        <v>30976</v>
      </c>
      <c r="D66" s="5">
        <v>91025.73</v>
      </c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894.94680121467547</v>
      </c>
      <c r="F66" s="14">
        <f t="shared" si="1"/>
        <v>1.2373948019112504</v>
      </c>
      <c r="J66" s="34"/>
      <c r="K66" s="34"/>
    </row>
    <row r="67" spans="1:11" x14ac:dyDescent="0.25">
      <c r="A67" s="10">
        <v>11.327999999999999</v>
      </c>
      <c r="B67" s="10"/>
      <c r="C67" s="30">
        <v>30984</v>
      </c>
      <c r="D67" s="5">
        <v>91003.94</v>
      </c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896.92531046031377</v>
      </c>
      <c r="F67" s="14">
        <f t="shared" si="1"/>
        <v>3.2159040475495431</v>
      </c>
      <c r="J67" s="34"/>
      <c r="K67" s="34"/>
    </row>
    <row r="68" spans="1:11" x14ac:dyDescent="0.25">
      <c r="A68" s="10">
        <v>11.52</v>
      </c>
      <c r="B68" s="10"/>
      <c r="C68" s="30">
        <v>30982</v>
      </c>
      <c r="D68" s="5">
        <v>91009.38</v>
      </c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896.43132821457414</v>
      </c>
      <c r="F68" s="14">
        <f t="shared" si="1"/>
        <v>2.7219218018099127</v>
      </c>
      <c r="J68" s="34"/>
      <c r="K68" s="34"/>
    </row>
    <row r="69" spans="1:11" x14ac:dyDescent="0.25">
      <c r="A69" s="10">
        <v>11.712</v>
      </c>
      <c r="B69" s="10"/>
      <c r="C69" s="30">
        <v>30961</v>
      </c>
      <c r="D69" s="5">
        <v>91066.6</v>
      </c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891.23688191262465</v>
      </c>
      <c r="F69" s="14">
        <f t="shared" si="1"/>
        <v>-2.4725245001395706</v>
      </c>
      <c r="J69" s="34"/>
      <c r="K69" s="34"/>
    </row>
    <row r="70" spans="1:11" x14ac:dyDescent="0.25">
      <c r="A70" s="10">
        <v>11.904</v>
      </c>
      <c r="B70" s="10"/>
      <c r="C70" s="30">
        <v>30987</v>
      </c>
      <c r="D70" s="5">
        <v>90995.76</v>
      </c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897.66814495073208</v>
      </c>
      <c r="F70" s="14">
        <f t="shared" si="1"/>
        <v>3.9587385379678608</v>
      </c>
      <c r="J70" s="34"/>
      <c r="K70" s="34"/>
    </row>
    <row r="71" spans="1:11" x14ac:dyDescent="0.25">
      <c r="A71" s="10">
        <v>12.096</v>
      </c>
      <c r="B71" s="10"/>
      <c r="C71" s="30">
        <v>30997</v>
      </c>
      <c r="D71" s="5">
        <v>90968.52</v>
      </c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900.14222819457393</v>
      </c>
      <c r="F71" s="14">
        <f t="shared" si="1"/>
        <v>6.4328217818097073</v>
      </c>
      <c r="J71" s="34"/>
      <c r="K71" s="34"/>
    </row>
    <row r="72" spans="1:11" x14ac:dyDescent="0.25">
      <c r="A72" s="10">
        <v>12.288</v>
      </c>
      <c r="B72" s="10"/>
      <c r="C72" s="30">
        <v>30993</v>
      </c>
      <c r="D72" s="5">
        <v>90979.41</v>
      </c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899.15306788477778</v>
      </c>
      <c r="F72" s="14">
        <f t="shared" si="1"/>
        <v>5.4436614720135594</v>
      </c>
      <c r="J72" s="34"/>
      <c r="K72" s="34"/>
    </row>
    <row r="73" spans="1:11" x14ac:dyDescent="0.25">
      <c r="A73" s="10">
        <v>12.48</v>
      </c>
      <c r="B73" s="10"/>
      <c r="C73" s="30">
        <v>30986</v>
      </c>
      <c r="D73" s="5">
        <v>90998.48</v>
      </c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897.4211328606475</v>
      </c>
      <c r="F73" s="14">
        <f t="shared" si="1"/>
        <v>3.7117264478832794</v>
      </c>
      <c r="J73" s="34"/>
      <c r="K73" s="34"/>
    </row>
    <row r="74" spans="1:11" x14ac:dyDescent="0.25">
      <c r="A74" s="10">
        <v>12.672000000000001</v>
      </c>
      <c r="B74" s="10"/>
      <c r="C74" s="30">
        <v>30999</v>
      </c>
      <c r="D74" s="5">
        <v>90963.06</v>
      </c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900.63820691844649</v>
      </c>
      <c r="F74" s="14">
        <f t="shared" si="1"/>
        <v>6.9288005056822612</v>
      </c>
      <c r="J74" s="34"/>
      <c r="K74" s="34"/>
    </row>
    <row r="75" spans="1:11" x14ac:dyDescent="0.25">
      <c r="A75" s="10">
        <v>12.864000000000001</v>
      </c>
      <c r="B75" s="10"/>
      <c r="C75" s="30">
        <v>30991</v>
      </c>
      <c r="D75" s="5">
        <v>90984.86</v>
      </c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898.65806956582765</v>
      </c>
      <c r="F75" s="14">
        <f t="shared" si="1"/>
        <v>4.9486631530634213</v>
      </c>
      <c r="J75" s="34"/>
      <c r="K75" s="34"/>
    </row>
    <row r="76" spans="1:11" x14ac:dyDescent="0.25">
      <c r="A76" s="10">
        <v>13.055999999999999</v>
      </c>
      <c r="B76" s="10"/>
      <c r="C76" s="30">
        <v>30985</v>
      </c>
      <c r="D76" s="5">
        <v>91001.21</v>
      </c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897.17321864937958</v>
      </c>
      <c r="F76" s="14">
        <f t="shared" si="1"/>
        <v>3.4638122366153539</v>
      </c>
      <c r="J76" s="34"/>
      <c r="K76" s="34"/>
    </row>
    <row r="77" spans="1:11" x14ac:dyDescent="0.25">
      <c r="A77" s="10">
        <v>13.247999999999999</v>
      </c>
      <c r="B77" s="10"/>
      <c r="C77" s="30">
        <v>30977</v>
      </c>
      <c r="D77" s="5">
        <v>91023</v>
      </c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895.19466134811955</v>
      </c>
      <c r="F77" s="14">
        <f t="shared" si="1"/>
        <v>1.4852549353553286</v>
      </c>
      <c r="J77" s="34"/>
      <c r="K77" s="34"/>
    </row>
    <row r="78" spans="1:11" x14ac:dyDescent="0.25">
      <c r="A78" s="10">
        <v>13.44</v>
      </c>
      <c r="B78" s="10"/>
      <c r="C78" s="30">
        <v>30963</v>
      </c>
      <c r="D78" s="5">
        <v>91061.15</v>
      </c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891.73152042160859</v>
      </c>
      <c r="F78" s="14">
        <f t="shared" si="1"/>
        <v>-1.977885991155631</v>
      </c>
      <c r="J78" s="34"/>
      <c r="K78" s="34"/>
    </row>
    <row r="79" spans="1:11" x14ac:dyDescent="0.25">
      <c r="A79" s="10">
        <v>13.632</v>
      </c>
      <c r="B79" s="10"/>
      <c r="C79" s="30">
        <v>30967</v>
      </c>
      <c r="D79" s="5">
        <v>91050.25</v>
      </c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892.72086935841037</v>
      </c>
      <c r="F79" s="14">
        <f t="shared" si="1"/>
        <v>-0.98853705435385564</v>
      </c>
      <c r="J79" s="34"/>
      <c r="K79" s="34"/>
    </row>
    <row r="80" spans="1:11" x14ac:dyDescent="0.25">
      <c r="A80" s="10">
        <v>13.824</v>
      </c>
      <c r="B80" s="10"/>
      <c r="C80" s="30">
        <v>30965</v>
      </c>
      <c r="D80" s="5">
        <v>91055.7</v>
      </c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892.22618290267269</v>
      </c>
      <c r="F80" s="14">
        <f t="shared" si="1"/>
        <v>-1.4832235100915341</v>
      </c>
      <c r="J80" s="34"/>
      <c r="K80" s="34"/>
    </row>
    <row r="81" spans="1:11" x14ac:dyDescent="0.25">
      <c r="A81" s="10">
        <v>14.016</v>
      </c>
      <c r="B81" s="10"/>
      <c r="C81" s="30">
        <v>30963</v>
      </c>
      <c r="D81" s="5">
        <v>91061.15</v>
      </c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891.73152042160859</v>
      </c>
      <c r="F81" s="14">
        <f t="shared" si="1"/>
        <v>-1.977885991155631</v>
      </c>
      <c r="J81" s="34"/>
      <c r="K81" s="34"/>
    </row>
    <row r="82" spans="1:11" x14ac:dyDescent="0.25">
      <c r="A82" s="10">
        <v>14.208</v>
      </c>
      <c r="B82" s="10"/>
      <c r="C82" s="30">
        <v>30961</v>
      </c>
      <c r="D82" s="5">
        <v>91066.6</v>
      </c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891.23688191262465</v>
      </c>
      <c r="F82" s="14">
        <f t="shared" si="1"/>
        <v>-2.4725245001395706</v>
      </c>
      <c r="J82" s="34"/>
      <c r="K82" s="34"/>
    </row>
    <row r="83" spans="1:11" x14ac:dyDescent="0.25">
      <c r="A83" s="10">
        <v>14.4</v>
      </c>
      <c r="B83" s="10"/>
      <c r="C83" s="30">
        <v>30953</v>
      </c>
      <c r="D83" s="5">
        <v>91088.41</v>
      </c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889.25766014987039</v>
      </c>
      <c r="F83" s="14">
        <f t="shared" si="1"/>
        <v>-4.4517462628938347</v>
      </c>
      <c r="J83" s="34"/>
      <c r="K83" s="34"/>
    </row>
    <row r="84" spans="1:11" x14ac:dyDescent="0.25">
      <c r="A84" s="10">
        <v>14.592000000000001</v>
      </c>
      <c r="B84" s="10"/>
      <c r="C84" s="30">
        <v>30954</v>
      </c>
      <c r="D84" s="5">
        <v>91085.67</v>
      </c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889.50628958267657</v>
      </c>
      <c r="F84" s="14">
        <f t="shared" si="1"/>
        <v>-4.2031168300876516</v>
      </c>
      <c r="J84" s="34"/>
      <c r="K84" s="34"/>
    </row>
    <row r="85" spans="1:11" x14ac:dyDescent="0.25">
      <c r="A85" s="10">
        <v>14.784000000000001</v>
      </c>
      <c r="B85" s="10"/>
      <c r="C85" s="30">
        <v>30955</v>
      </c>
      <c r="D85" s="5">
        <v>91082.95</v>
      </c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889.75311019218111</v>
      </c>
      <c r="F85" s="14">
        <f t="shared" si="1"/>
        <v>-3.9562962205831127</v>
      </c>
      <c r="J85" s="34"/>
      <c r="K85" s="34"/>
    </row>
    <row r="86" spans="1:11" x14ac:dyDescent="0.25">
      <c r="A86" s="10">
        <v>14.976000000000001</v>
      </c>
      <c r="B86" s="10"/>
      <c r="C86" s="30">
        <v>30952</v>
      </c>
      <c r="D86" s="5">
        <v>91091.13</v>
      </c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889.01085152019709</v>
      </c>
      <c r="F86" s="14">
        <f t="shared" si="1"/>
        <v>-4.698554892567131</v>
      </c>
      <c r="J86" s="34"/>
      <c r="K86" s="34"/>
    </row>
    <row r="87" spans="1:11" x14ac:dyDescent="0.25">
      <c r="A87" s="10">
        <v>15.167999999999999</v>
      </c>
      <c r="B87" s="10"/>
      <c r="C87" s="30">
        <v>30950</v>
      </c>
      <c r="D87" s="5">
        <v>91096.58</v>
      </c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888.51634483322448</v>
      </c>
      <c r="F87" s="14">
        <f t="shared" si="1"/>
        <v>-5.1930615795397443</v>
      </c>
      <c r="J87" s="34"/>
      <c r="K87" s="34"/>
    </row>
    <row r="88" spans="1:11" x14ac:dyDescent="0.25">
      <c r="A88" s="10">
        <v>15.36</v>
      </c>
      <c r="B88" s="10"/>
      <c r="C88" s="30">
        <v>30949</v>
      </c>
      <c r="D88" s="5">
        <v>91099.3</v>
      </c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888.26955412699476</v>
      </c>
      <c r="F88" s="14">
        <f t="shared" si="1"/>
        <v>-5.4398522857694616</v>
      </c>
      <c r="J88" s="34"/>
      <c r="K88" s="34"/>
    </row>
    <row r="89" spans="1:11" x14ac:dyDescent="0.25">
      <c r="A89" s="10">
        <v>15.552</v>
      </c>
      <c r="B89" s="10"/>
      <c r="C89" s="30">
        <v>30950</v>
      </c>
      <c r="D89" s="5">
        <v>91096.58</v>
      </c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888.51634483322448</v>
      </c>
      <c r="F89" s="14">
        <f t="shared" si="1"/>
        <v>-5.1930615795397443</v>
      </c>
      <c r="J89" s="34"/>
      <c r="K89" s="34"/>
    </row>
    <row r="90" spans="1:11" x14ac:dyDescent="0.25">
      <c r="A90" s="10">
        <v>15.744</v>
      </c>
      <c r="B90" s="10"/>
      <c r="C90" s="30">
        <v>30948</v>
      </c>
      <c r="D90" s="5">
        <v>91102.02</v>
      </c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888.02276938728778</v>
      </c>
      <c r="F90" s="14">
        <f t="shared" si="1"/>
        <v>-5.6866370254764433</v>
      </c>
      <c r="J90" s="34"/>
      <c r="K90" s="34"/>
    </row>
    <row r="91" spans="1:11" x14ac:dyDescent="0.25">
      <c r="A91" s="10">
        <v>15.936</v>
      </c>
      <c r="B91" s="10"/>
      <c r="C91" s="30">
        <v>30945</v>
      </c>
      <c r="D91" s="5">
        <v>91110.2</v>
      </c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887.28063652409514</v>
      </c>
      <c r="F91" s="14">
        <f t="shared" si="1"/>
        <v>-6.4287698886690805</v>
      </c>
      <c r="J91" s="34"/>
      <c r="K91" s="34"/>
    </row>
    <row r="92" spans="1:11" x14ac:dyDescent="0.25">
      <c r="A92" s="10">
        <v>16.128</v>
      </c>
      <c r="B92" s="10"/>
      <c r="C92" s="30">
        <v>30946</v>
      </c>
      <c r="D92" s="5">
        <v>91107.48</v>
      </c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887.52740332230576</v>
      </c>
      <c r="F92" s="14">
        <f t="shared" si="1"/>
        <v>-6.1820030904584655</v>
      </c>
      <c r="J92" s="34"/>
      <c r="K92" s="34"/>
    </row>
    <row r="93" spans="1:11" x14ac:dyDescent="0.25">
      <c r="A93" s="10">
        <v>16.32</v>
      </c>
      <c r="B93" s="10"/>
      <c r="C93" s="30">
        <v>30947</v>
      </c>
      <c r="D93" s="5">
        <v>91104.75</v>
      </c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887.77508334988727</v>
      </c>
      <c r="F93" s="14">
        <f t="shared" si="1"/>
        <v>-5.9343230628769561</v>
      </c>
      <c r="J93" s="34"/>
      <c r="K93" s="34"/>
    </row>
    <row r="94" spans="1:11" x14ac:dyDescent="0.25">
      <c r="A94" s="10">
        <v>16.512</v>
      </c>
      <c r="B94" s="10"/>
      <c r="C94" s="30">
        <v>30945</v>
      </c>
      <c r="D94" s="5">
        <v>91110.2</v>
      </c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887.28063652409514</v>
      </c>
      <c r="F94" s="14">
        <f t="shared" si="1"/>
        <v>-6.4287698886690805</v>
      </c>
      <c r="J94" s="34"/>
      <c r="K94" s="34"/>
    </row>
    <row r="95" spans="1:11" x14ac:dyDescent="0.25">
      <c r="A95" s="10">
        <v>16.704000000000001</v>
      </c>
      <c r="B95" s="10"/>
      <c r="C95" s="30">
        <v>30944</v>
      </c>
      <c r="D95" s="5">
        <v>91112.92</v>
      </c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887.03387569111294</v>
      </c>
      <c r="F95" s="14">
        <f t="shared" si="1"/>
        <v>-6.6755307216512847</v>
      </c>
      <c r="J95" s="34"/>
      <c r="K95" s="34"/>
    </row>
    <row r="96" spans="1:11" x14ac:dyDescent="0.25">
      <c r="A96" s="10">
        <v>16.896000000000001</v>
      </c>
      <c r="B96" s="10"/>
      <c r="C96" s="30">
        <v>30941</v>
      </c>
      <c r="D96" s="5">
        <v>91121.09</v>
      </c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886.29272184817535</v>
      </c>
      <c r="F96" s="14">
        <f t="shared" si="1"/>
        <v>-7.416684564588877</v>
      </c>
      <c r="J96" s="34"/>
      <c r="K96" s="34"/>
    </row>
    <row r="97" spans="1:11" x14ac:dyDescent="0.25">
      <c r="A97" s="10">
        <v>17.088000000000001</v>
      </c>
      <c r="B97" s="10"/>
      <c r="C97" s="30">
        <v>30941</v>
      </c>
      <c r="D97" s="5">
        <v>91121.09</v>
      </c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886.29272184817535</v>
      </c>
      <c r="F97" s="14">
        <f t="shared" si="1"/>
        <v>-7.416684564588877</v>
      </c>
      <c r="J97" s="34"/>
      <c r="K97" s="34"/>
    </row>
    <row r="98" spans="1:11" x14ac:dyDescent="0.25">
      <c r="A98" s="10">
        <v>17.28</v>
      </c>
      <c r="B98" s="10"/>
      <c r="C98" s="36">
        <v>30940</v>
      </c>
      <c r="D98" s="5">
        <v>91123.83</v>
      </c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886.04417067460292</v>
      </c>
      <c r="F98" s="14">
        <f t="shared" si="1"/>
        <v>-7.6652357381613001</v>
      </c>
      <c r="J98" s="34"/>
      <c r="K98" s="34"/>
    </row>
    <row r="99" spans="1:11" x14ac:dyDescent="0.25">
      <c r="A99" s="10">
        <v>17.472000000000001</v>
      </c>
      <c r="B99" s="10"/>
      <c r="C99" s="36">
        <v>30939</v>
      </c>
      <c r="D99" s="5">
        <v>91126.55</v>
      </c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885.79743972871302</v>
      </c>
      <c r="F99" s="14">
        <f t="shared" ref="F99:F162" si="2">IF(D99&lt;&gt;0,E99-$E$3,0)</f>
        <v>-7.9119666840512082</v>
      </c>
      <c r="J99" s="34"/>
      <c r="K99" s="34"/>
    </row>
    <row r="100" spans="1:11" x14ac:dyDescent="0.25">
      <c r="A100" s="10">
        <v>17.664000000000001</v>
      </c>
      <c r="B100" s="10"/>
      <c r="C100" s="36">
        <v>30936</v>
      </c>
      <c r="D100" s="5">
        <v>91134.720000000001</v>
      </c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885.05637564722849</v>
      </c>
      <c r="F100" s="14">
        <f t="shared" si="2"/>
        <v>-8.6530307655357319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BH248"/>
  <sheetViews>
    <sheetView zoomScaleNormal="100" workbookViewId="0">
      <selection activeCell="E1" sqref="E1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29</v>
      </c>
      <c r="D1" s="42" t="s">
        <v>15</v>
      </c>
      <c r="E1" s="43">
        <v>42684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0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0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0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0</v>
      </c>
      <c r="F4" s="39">
        <f>E4-E3</f>
        <v>0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2048</v>
      </c>
      <c r="D8" s="11">
        <v>0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0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0</v>
      </c>
      <c r="D9" s="5">
        <v>0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0</v>
      </c>
      <c r="F9" s="14">
        <f t="shared" si="0"/>
        <v>0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32768</v>
      </c>
      <c r="D10" s="5">
        <v>0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0</v>
      </c>
      <c r="F10" s="14">
        <f t="shared" si="0"/>
        <v>0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0</v>
      </c>
      <c r="D11" s="5">
        <v>0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0</v>
      </c>
      <c r="F11" s="14">
        <f t="shared" si="0"/>
        <v>0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0</v>
      </c>
      <c r="D12" s="5">
        <v>0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0</v>
      </c>
      <c r="F12" s="14">
        <f t="shared" si="0"/>
        <v>0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0</v>
      </c>
      <c r="D13" s="5">
        <v>0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0</v>
      </c>
      <c r="F13" s="14">
        <f t="shared" si="0"/>
        <v>0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0</v>
      </c>
      <c r="D14" s="5">
        <v>0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0</v>
      </c>
      <c r="F14" s="14">
        <f t="shared" si="0"/>
        <v>0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0</v>
      </c>
      <c r="D15" s="5">
        <v>0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0</v>
      </c>
      <c r="F15" s="14">
        <f t="shared" si="0"/>
        <v>0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0</v>
      </c>
      <c r="D16" s="5">
        <v>0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0</v>
      </c>
      <c r="F16" s="14">
        <f t="shared" si="0"/>
        <v>0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0</v>
      </c>
      <c r="D17" s="5">
        <v>0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0</v>
      </c>
      <c r="F17" s="14">
        <f t="shared" si="0"/>
        <v>0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0</v>
      </c>
      <c r="D18" s="5">
        <v>0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0</v>
      </c>
      <c r="F18" s="14">
        <f t="shared" si="0"/>
        <v>0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0</v>
      </c>
      <c r="D19" s="5">
        <v>0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0</v>
      </c>
      <c r="F19" s="14">
        <f t="shared" si="0"/>
        <v>0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0</v>
      </c>
      <c r="D20" s="5">
        <v>0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0</v>
      </c>
      <c r="F20" s="14">
        <f t="shared" si="0"/>
        <v>0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0</v>
      </c>
      <c r="D21" s="5">
        <v>0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0</v>
      </c>
      <c r="F21" s="14">
        <f t="shared" si="0"/>
        <v>0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0</v>
      </c>
      <c r="D22" s="5">
        <v>0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0</v>
      </c>
      <c r="F22" s="14">
        <f t="shared" si="0"/>
        <v>0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0</v>
      </c>
      <c r="D23" s="5">
        <v>0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0</v>
      </c>
      <c r="F23" s="14">
        <f t="shared" si="0"/>
        <v>0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0</v>
      </c>
      <c r="D24" s="5">
        <v>0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0</v>
      </c>
      <c r="F24" s="14">
        <f t="shared" si="0"/>
        <v>0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0</v>
      </c>
      <c r="D25" s="5">
        <v>0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0</v>
      </c>
      <c r="F25" s="14">
        <f t="shared" si="0"/>
        <v>0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0</v>
      </c>
      <c r="D26" s="5">
        <v>0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0</v>
      </c>
      <c r="F26" s="14">
        <f t="shared" si="0"/>
        <v>0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0</v>
      </c>
      <c r="D27" s="5">
        <v>0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0</v>
      </c>
      <c r="F27" s="14">
        <f t="shared" si="0"/>
        <v>0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0</v>
      </c>
      <c r="D28" s="5">
        <v>0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0</v>
      </c>
      <c r="F28" s="14">
        <f t="shared" si="0"/>
        <v>0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0</v>
      </c>
      <c r="D29" s="5">
        <v>0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0</v>
      </c>
      <c r="F29" s="14">
        <f t="shared" si="0"/>
        <v>0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0</v>
      </c>
      <c r="D30" s="5">
        <v>0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0</v>
      </c>
      <c r="F30" s="14">
        <f t="shared" si="0"/>
        <v>0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0</v>
      </c>
      <c r="D31" s="5">
        <v>0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0</v>
      </c>
      <c r="F31" s="14">
        <f t="shared" si="0"/>
        <v>0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0</v>
      </c>
      <c r="D32" s="5">
        <v>0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0</v>
      </c>
      <c r="F32" s="14">
        <f t="shared" si="0"/>
        <v>0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0</v>
      </c>
      <c r="D33" s="5">
        <v>0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0</v>
      </c>
      <c r="F33" s="14">
        <f t="shared" si="0"/>
        <v>0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0</v>
      </c>
      <c r="D34" s="5">
        <v>0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0</v>
      </c>
      <c r="F34" s="14">
        <f>IF(D34&lt;&gt;0,E34-$E$3,0)</f>
        <v>0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0</v>
      </c>
      <c r="D35" s="5">
        <v>0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0</v>
      </c>
      <c r="F35" s="14">
        <f t="shared" ref="F35:F98" si="1">IF(D35&lt;&gt;0,E35-$E$3,0)</f>
        <v>0</v>
      </c>
      <c r="J35" s="34"/>
      <c r="K35" s="34"/>
    </row>
    <row r="36" spans="1:60" x14ac:dyDescent="0.25">
      <c r="A36" s="10">
        <v>5.3760000000000003</v>
      </c>
      <c r="B36" s="10"/>
      <c r="C36" s="30">
        <v>0</v>
      </c>
      <c r="D36" s="5">
        <v>0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0</v>
      </c>
      <c r="F36" s="14">
        <f t="shared" si="1"/>
        <v>0</v>
      </c>
      <c r="J36" s="34"/>
      <c r="K36" s="34"/>
    </row>
    <row r="37" spans="1:60" x14ac:dyDescent="0.25">
      <c r="A37" s="10">
        <v>5.5679999999999996</v>
      </c>
      <c r="B37" s="10"/>
      <c r="C37" s="30">
        <v>0</v>
      </c>
      <c r="D37" s="5">
        <v>0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0</v>
      </c>
      <c r="F37" s="14">
        <f t="shared" si="1"/>
        <v>0</v>
      </c>
      <c r="J37" s="34"/>
      <c r="K37" s="34"/>
    </row>
    <row r="38" spans="1:60" x14ac:dyDescent="0.25">
      <c r="A38" s="10">
        <v>5.76</v>
      </c>
      <c r="B38" s="10"/>
      <c r="C38" s="30">
        <v>0</v>
      </c>
      <c r="D38" s="5">
        <v>0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0</v>
      </c>
      <c r="F38" s="14">
        <f t="shared" si="1"/>
        <v>0</v>
      </c>
      <c r="J38" s="34"/>
      <c r="K38" s="34"/>
    </row>
    <row r="39" spans="1:60" x14ac:dyDescent="0.25">
      <c r="A39" s="10">
        <v>5.952</v>
      </c>
      <c r="B39" s="10"/>
      <c r="C39" s="30">
        <v>0</v>
      </c>
      <c r="D39" s="5">
        <v>0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0</v>
      </c>
      <c r="F39" s="14">
        <f t="shared" si="1"/>
        <v>0</v>
      </c>
      <c r="J39" s="34"/>
      <c r="K39" s="34"/>
    </row>
    <row r="40" spans="1:60" x14ac:dyDescent="0.25">
      <c r="A40" s="10">
        <v>6.1440000000000001</v>
      </c>
      <c r="B40" s="10"/>
      <c r="C40" s="30">
        <v>0</v>
      </c>
      <c r="D40" s="5">
        <v>0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0</v>
      </c>
      <c r="F40" s="14">
        <f t="shared" si="1"/>
        <v>0</v>
      </c>
      <c r="J40" s="34"/>
      <c r="K40" s="34"/>
    </row>
    <row r="41" spans="1:60" x14ac:dyDescent="0.25">
      <c r="A41" s="10">
        <v>6.3360000000000003</v>
      </c>
      <c r="B41" s="10"/>
      <c r="C41" s="30">
        <v>0</v>
      </c>
      <c r="D41" s="5">
        <v>0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0</v>
      </c>
      <c r="F41" s="14">
        <f t="shared" si="1"/>
        <v>0</v>
      </c>
      <c r="J41" s="34"/>
      <c r="K41" s="34"/>
    </row>
    <row r="42" spans="1:60" x14ac:dyDescent="0.25">
      <c r="A42" s="10">
        <v>6.5279999999999996</v>
      </c>
      <c r="B42" s="10"/>
      <c r="C42" s="30">
        <v>0</v>
      </c>
      <c r="D42" s="5">
        <v>0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0</v>
      </c>
      <c r="F42" s="14">
        <f t="shared" si="1"/>
        <v>0</v>
      </c>
      <c r="J42" s="34"/>
      <c r="K42" s="34"/>
    </row>
    <row r="43" spans="1:60" x14ac:dyDescent="0.25">
      <c r="A43" s="10">
        <v>6.72</v>
      </c>
      <c r="B43" s="10"/>
      <c r="C43" s="30">
        <v>0</v>
      </c>
      <c r="D43" s="5">
        <v>0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0</v>
      </c>
      <c r="F43" s="14">
        <f t="shared" si="1"/>
        <v>0</v>
      </c>
      <c r="J43" s="34"/>
      <c r="K43" s="34"/>
    </row>
    <row r="44" spans="1:60" x14ac:dyDescent="0.25">
      <c r="A44" s="10">
        <v>6.9119999999999999</v>
      </c>
      <c r="B44" s="10"/>
      <c r="C44" s="30">
        <v>0</v>
      </c>
      <c r="D44" s="5">
        <v>0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f t="shared" si="1"/>
        <v>0</v>
      </c>
      <c r="J44" s="34"/>
      <c r="K44" s="34"/>
    </row>
    <row r="45" spans="1:60" x14ac:dyDescent="0.25">
      <c r="A45" s="10">
        <v>7.1040000000000001</v>
      </c>
      <c r="B45" s="10"/>
      <c r="C45" s="30">
        <v>0</v>
      </c>
      <c r="D45" s="5">
        <v>0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f t="shared" si="1"/>
        <v>0</v>
      </c>
      <c r="J45" s="34"/>
      <c r="K45" s="34"/>
    </row>
    <row r="46" spans="1:60" x14ac:dyDescent="0.25">
      <c r="A46" s="10">
        <v>7.2959999999999896</v>
      </c>
      <c r="B46" s="10"/>
      <c r="C46" s="30">
        <v>0</v>
      </c>
      <c r="D46" s="5">
        <v>0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f t="shared" si="1"/>
        <v>0</v>
      </c>
      <c r="J46" s="34"/>
      <c r="K46" s="34"/>
    </row>
    <row r="47" spans="1:60" x14ac:dyDescent="0.25">
      <c r="A47" s="10">
        <v>7.4879999999999898</v>
      </c>
      <c r="B47" s="10"/>
      <c r="C47" s="30">
        <v>0</v>
      </c>
      <c r="D47" s="5">
        <v>0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f t="shared" si="1"/>
        <v>0</v>
      </c>
      <c r="J47" s="34"/>
      <c r="K47" s="34"/>
    </row>
    <row r="48" spans="1:60" x14ac:dyDescent="0.25">
      <c r="A48" s="10">
        <v>7.6799999999999899</v>
      </c>
      <c r="B48" s="10"/>
      <c r="C48" s="30">
        <v>0</v>
      </c>
      <c r="D48" s="5">
        <v>0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f t="shared" si="1"/>
        <v>0</v>
      </c>
      <c r="J48" s="34"/>
      <c r="K48" s="34"/>
    </row>
    <row r="49" spans="1:11" x14ac:dyDescent="0.25">
      <c r="A49" s="10">
        <v>7.8719999999999901</v>
      </c>
      <c r="B49" s="10"/>
      <c r="C49" s="30">
        <v>0</v>
      </c>
      <c r="D49" s="5">
        <v>0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>
        <v>0</v>
      </c>
      <c r="D50" s="5">
        <v>0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>
        <v>0</v>
      </c>
      <c r="D51" s="5">
        <v>0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>
        <v>0</v>
      </c>
      <c r="D52" s="5">
        <v>0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>
        <v>0</v>
      </c>
      <c r="D53" s="5">
        <v>0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>
        <v>0</v>
      </c>
      <c r="D54" s="5">
        <v>0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>
        <v>0</v>
      </c>
      <c r="D55" s="5">
        <v>0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>
        <v>0</v>
      </c>
      <c r="D56" s="5">
        <v>0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>
        <v>0</v>
      </c>
      <c r="D57" s="5">
        <v>0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>
        <v>0</v>
      </c>
      <c r="D58" s="5">
        <v>0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>
        <v>0</v>
      </c>
      <c r="D59" s="5">
        <v>0</v>
      </c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>
        <v>0</v>
      </c>
      <c r="D60" s="5">
        <v>0</v>
      </c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>
        <v>0</v>
      </c>
      <c r="D61" s="5">
        <v>0</v>
      </c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>
        <v>0</v>
      </c>
      <c r="D62" s="5">
        <v>0</v>
      </c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>
        <v>0</v>
      </c>
      <c r="D63" s="5">
        <v>0</v>
      </c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>
        <v>0</v>
      </c>
      <c r="D64" s="5">
        <v>0</v>
      </c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>
        <v>0</v>
      </c>
      <c r="D65" s="5">
        <v>0</v>
      </c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>
        <v>0</v>
      </c>
      <c r="D66" s="5">
        <v>0</v>
      </c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>
        <v>0</v>
      </c>
      <c r="D67" s="5">
        <v>0</v>
      </c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>
        <v>0</v>
      </c>
      <c r="D68" s="5">
        <v>0</v>
      </c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>
        <v>0</v>
      </c>
      <c r="D69" s="5">
        <v>0</v>
      </c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>
        <v>0</v>
      </c>
      <c r="D70" s="5">
        <v>0</v>
      </c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>
        <v>0</v>
      </c>
      <c r="D71" s="5">
        <v>0</v>
      </c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>
        <v>0</v>
      </c>
      <c r="D72" s="5">
        <v>0</v>
      </c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>
        <v>0</v>
      </c>
      <c r="D73" s="5">
        <v>0</v>
      </c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>
        <v>0</v>
      </c>
      <c r="D74" s="5">
        <v>0</v>
      </c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>
        <v>0</v>
      </c>
      <c r="D75" s="5">
        <v>0</v>
      </c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>
        <v>0</v>
      </c>
      <c r="D76" s="5">
        <v>0</v>
      </c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>
        <v>0</v>
      </c>
      <c r="D77" s="5">
        <v>0</v>
      </c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>
        <v>0</v>
      </c>
      <c r="D78" s="5">
        <v>0</v>
      </c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>
        <v>0</v>
      </c>
      <c r="D79" s="5">
        <v>0</v>
      </c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>
        <v>0</v>
      </c>
      <c r="D80" s="5">
        <v>0</v>
      </c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>
        <v>0</v>
      </c>
      <c r="D81" s="5">
        <v>0</v>
      </c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>
        <v>0</v>
      </c>
      <c r="D82" s="5">
        <v>0</v>
      </c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>
        <v>0</v>
      </c>
      <c r="D83" s="5">
        <v>0</v>
      </c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>
        <v>0</v>
      </c>
      <c r="D84" s="5">
        <v>0</v>
      </c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>
        <v>0</v>
      </c>
      <c r="D85" s="5">
        <v>0</v>
      </c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>
        <v>0</v>
      </c>
      <c r="D86" s="5">
        <v>0</v>
      </c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>
        <v>0</v>
      </c>
      <c r="D87" s="5">
        <v>0</v>
      </c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>
        <v>0</v>
      </c>
      <c r="D88" s="5">
        <v>0</v>
      </c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>
        <v>0</v>
      </c>
      <c r="D89" s="5">
        <v>0</v>
      </c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>
        <v>0</v>
      </c>
      <c r="D90" s="5">
        <v>0</v>
      </c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>
        <v>0</v>
      </c>
      <c r="D91" s="5">
        <v>0</v>
      </c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>
        <v>0</v>
      </c>
      <c r="D92" s="5">
        <v>0</v>
      </c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>
        <v>0</v>
      </c>
      <c r="D93" s="5">
        <v>0</v>
      </c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>
        <v>0</v>
      </c>
      <c r="D94" s="5">
        <v>0</v>
      </c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>
        <v>0</v>
      </c>
      <c r="D95" s="5">
        <v>0</v>
      </c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>
        <v>0</v>
      </c>
      <c r="D96" s="5">
        <v>0</v>
      </c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>
        <v>0</v>
      </c>
      <c r="D97" s="5">
        <v>0</v>
      </c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>
        <v>0</v>
      </c>
      <c r="D98" s="5">
        <v>0</v>
      </c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>
        <v>0</v>
      </c>
      <c r="D99" s="5">
        <v>0</v>
      </c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>
        <v>0</v>
      </c>
      <c r="D100" s="5">
        <v>0</v>
      </c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>
        <v>0</v>
      </c>
      <c r="D101" s="5">
        <v>0</v>
      </c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>
        <v>0</v>
      </c>
      <c r="D102" s="5">
        <v>0</v>
      </c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>
        <v>0</v>
      </c>
      <c r="D103" s="5">
        <v>0</v>
      </c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>
        <v>0</v>
      </c>
      <c r="D104" s="5">
        <v>0</v>
      </c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>
        <v>0</v>
      </c>
      <c r="D105" s="5">
        <v>0</v>
      </c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>
        <v>0</v>
      </c>
      <c r="D106" s="5">
        <v>0</v>
      </c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>
        <v>0</v>
      </c>
      <c r="D107" s="5">
        <v>0</v>
      </c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>
        <v>0</v>
      </c>
      <c r="D108" s="5">
        <v>0</v>
      </c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>
        <v>0</v>
      </c>
      <c r="D109" s="5">
        <v>0</v>
      </c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>
        <v>0</v>
      </c>
      <c r="D110" s="5">
        <v>0</v>
      </c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>
        <v>0</v>
      </c>
      <c r="D111" s="5">
        <v>0</v>
      </c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>
        <v>0</v>
      </c>
      <c r="D112" s="5">
        <v>0</v>
      </c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BH248"/>
  <sheetViews>
    <sheetView zoomScaleNormal="100" workbookViewId="0">
      <selection activeCell="E1" sqref="E1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29</v>
      </c>
      <c r="D1" s="42" t="s">
        <v>15</v>
      </c>
      <c r="E1" s="43">
        <v>42684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90383.41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953.43045272683355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90241.38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966.40779110260337</v>
      </c>
      <c r="F4" s="39">
        <f>E4-E3</f>
        <v>12.977338375769818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26005</v>
      </c>
      <c r="D8" s="11">
        <v>90383.41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953.43045272683355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26042</v>
      </c>
      <c r="D9" s="5">
        <v>90284.25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962.48900033333678</v>
      </c>
      <c r="F9" s="14">
        <f t="shared" si="0"/>
        <v>9.0585476065032253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26007</v>
      </c>
      <c r="D10" s="5">
        <v>90378.05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953.91989815849877</v>
      </c>
      <c r="F10" s="14">
        <f t="shared" si="0"/>
        <v>0.48944543166521726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26058</v>
      </c>
      <c r="D11" s="5">
        <v>90241.38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966.40779110260337</v>
      </c>
      <c r="F11" s="14">
        <f t="shared" si="0"/>
        <v>12.977338375769818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26045</v>
      </c>
      <c r="D12" s="5">
        <v>90276.21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963.22383018970095</v>
      </c>
      <c r="F12" s="14">
        <f t="shared" si="0"/>
        <v>9.7933774628673973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26036</v>
      </c>
      <c r="D13" s="5">
        <v>90300.33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961.01949956930025</v>
      </c>
      <c r="F13" s="14">
        <f t="shared" si="0"/>
        <v>7.5890468424667006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26028</v>
      </c>
      <c r="D14" s="5">
        <v>90321.77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959.06049478830585</v>
      </c>
      <c r="F14" s="14">
        <f t="shared" si="0"/>
        <v>5.6300420614722952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26015</v>
      </c>
      <c r="D15" s="5">
        <v>90356.61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955.87791496045224</v>
      </c>
      <c r="F15" s="14">
        <f t="shared" si="0"/>
        <v>2.447462233618694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26009</v>
      </c>
      <c r="D16" s="5">
        <v>90372.69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954.40936709516939</v>
      </c>
      <c r="F16" s="14">
        <f t="shared" si="0"/>
        <v>0.97891436833583612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25998</v>
      </c>
      <c r="D17" s="5">
        <v>90402.16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951.71849175066609</v>
      </c>
      <c r="F17" s="14">
        <f t="shared" si="0"/>
        <v>-1.711960976167461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25999</v>
      </c>
      <c r="D18" s="5">
        <v>90399.48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951.96317042771818</v>
      </c>
      <c r="F18" s="14">
        <f t="shared" si="0"/>
        <v>-1.467282299115368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25995</v>
      </c>
      <c r="D19" s="5">
        <v>90410.2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950.98449095874844</v>
      </c>
      <c r="F19" s="14">
        <f t="shared" si="0"/>
        <v>-2.4459617680851125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25993</v>
      </c>
      <c r="D20" s="5">
        <v>90415.56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950.49518646034494</v>
      </c>
      <c r="F20" s="14">
        <f t="shared" si="0"/>
        <v>-2.9352662664886111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25989</v>
      </c>
      <c r="D21" s="5">
        <v>90426.28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949.51664792311124</v>
      </c>
      <c r="F21" s="14">
        <f t="shared" si="0"/>
        <v>-3.9138048037223143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26002</v>
      </c>
      <c r="D22" s="5">
        <v>90391.44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952.69724170252323</v>
      </c>
      <c r="F22" s="14">
        <f t="shared" si="0"/>
        <v>-0.73321102431032159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26007</v>
      </c>
      <c r="D23" s="5">
        <v>90378.05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953.91989815849877</v>
      </c>
      <c r="F23" s="14">
        <f t="shared" si="0"/>
        <v>0.48944543166521726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26006</v>
      </c>
      <c r="D24" s="5">
        <v>90380.72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953.67608564920272</v>
      </c>
      <c r="F24" s="14">
        <f t="shared" si="0"/>
        <v>0.24563292236916823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26009</v>
      </c>
      <c r="D25" s="5">
        <v>90372.69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954.40936709516939</v>
      </c>
      <c r="F25" s="14">
        <f t="shared" si="0"/>
        <v>0.97891436833583612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26003</v>
      </c>
      <c r="D26" s="5">
        <v>90388.77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952.94103079765375</v>
      </c>
      <c r="F26" s="14">
        <f t="shared" si="0"/>
        <v>-0.4894219291797981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26003</v>
      </c>
      <c r="D27" s="5">
        <v>90388.77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952.94103079765375</v>
      </c>
      <c r="F27" s="14">
        <f t="shared" si="0"/>
        <v>-0.4894219291797981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26005</v>
      </c>
      <c r="D28" s="5">
        <v>90383.41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953.43045272683355</v>
      </c>
      <c r="F28" s="14">
        <f t="shared" si="0"/>
        <v>0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26005</v>
      </c>
      <c r="D29" s="5">
        <v>90383.41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953.43045272683355</v>
      </c>
      <c r="F29" s="14">
        <f t="shared" si="0"/>
        <v>0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26005</v>
      </c>
      <c r="D30" s="5">
        <v>90383.41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953.43045272683355</v>
      </c>
      <c r="F30" s="14">
        <f t="shared" si="0"/>
        <v>0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26002</v>
      </c>
      <c r="D31" s="5">
        <v>90391.44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952.69724170252323</v>
      </c>
      <c r="F31" s="14">
        <f t="shared" si="0"/>
        <v>-0.73321102431032159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26005</v>
      </c>
      <c r="D32" s="5">
        <v>90383.41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953.43045272683355</v>
      </c>
      <c r="F32" s="14">
        <f t="shared" si="0"/>
        <v>0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26003</v>
      </c>
      <c r="D33" s="5">
        <v>90388.77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952.94103079765375</v>
      </c>
      <c r="F33" s="14">
        <f t="shared" si="0"/>
        <v>-0.4894219291797981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26003</v>
      </c>
      <c r="D34" s="5">
        <v>90388.77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952.94103079765375</v>
      </c>
      <c r="F34" s="14">
        <f>IF(D34&lt;&gt;0,E34-$E$3,0)</f>
        <v>-0.4894219291797981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26002</v>
      </c>
      <c r="D35" s="5">
        <v>90391.44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952.69724170252323</v>
      </c>
      <c r="F35" s="14">
        <f t="shared" ref="F35:F98" si="1">IF(D35&lt;&gt;0,E35-$E$3,0)</f>
        <v>-0.73321102431032159</v>
      </c>
      <c r="J35" s="34"/>
      <c r="K35" s="34"/>
    </row>
    <row r="36" spans="1:60" x14ac:dyDescent="0.25">
      <c r="A36" s="10">
        <v>5.3760000000000003</v>
      </c>
      <c r="B36" s="10"/>
      <c r="C36" s="30">
        <v>26004</v>
      </c>
      <c r="D36" s="5">
        <v>90386.08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953.1866519252477</v>
      </c>
      <c r="F36" s="14">
        <f t="shared" si="1"/>
        <v>-0.2438008015858486</v>
      </c>
      <c r="J36" s="34"/>
      <c r="K36" s="34"/>
    </row>
    <row r="37" spans="1:60" x14ac:dyDescent="0.25">
      <c r="A37" s="10">
        <v>5.5679999999999996</v>
      </c>
      <c r="B37" s="10"/>
      <c r="C37" s="30">
        <v>26003</v>
      </c>
      <c r="D37" s="5">
        <v>90388.77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952.94103079765375</v>
      </c>
      <c r="F37" s="14">
        <f t="shared" si="1"/>
        <v>-0.4894219291797981</v>
      </c>
      <c r="J37" s="34"/>
      <c r="K37" s="34"/>
    </row>
    <row r="38" spans="1:60" x14ac:dyDescent="0.25">
      <c r="A38" s="10">
        <v>5.76</v>
      </c>
      <c r="B38" s="10"/>
      <c r="C38" s="30">
        <v>26005</v>
      </c>
      <c r="D38" s="5">
        <v>90383.41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953.43045272683355</v>
      </c>
      <c r="F38" s="14">
        <f t="shared" si="1"/>
        <v>0</v>
      </c>
      <c r="J38" s="34"/>
      <c r="K38" s="34"/>
    </row>
    <row r="39" spans="1:60" x14ac:dyDescent="0.25">
      <c r="A39" s="10">
        <v>5.952</v>
      </c>
      <c r="B39" s="10"/>
      <c r="C39" s="30">
        <v>26003</v>
      </c>
      <c r="D39" s="5">
        <v>90388.77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952.94103079765375</v>
      </c>
      <c r="F39" s="14">
        <f t="shared" si="1"/>
        <v>-0.4894219291797981</v>
      </c>
      <c r="J39" s="34"/>
      <c r="K39" s="34"/>
    </row>
    <row r="40" spans="1:60" x14ac:dyDescent="0.25">
      <c r="A40" s="10">
        <v>6.1440000000000001</v>
      </c>
      <c r="B40" s="10"/>
      <c r="C40" s="30">
        <v>26000</v>
      </c>
      <c r="D40" s="5">
        <v>90396.800000000003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952.2078549785042</v>
      </c>
      <c r="F40" s="14">
        <f t="shared" si="1"/>
        <v>-1.2225977483293491</v>
      </c>
      <c r="J40" s="34"/>
      <c r="K40" s="34"/>
    </row>
    <row r="41" spans="1:60" x14ac:dyDescent="0.25">
      <c r="A41" s="10">
        <v>6.3360000000000003</v>
      </c>
      <c r="B41" s="10"/>
      <c r="C41" s="30">
        <v>26003</v>
      </c>
      <c r="D41" s="5">
        <v>90388.77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952.94103079765375</v>
      </c>
      <c r="F41" s="14">
        <f t="shared" si="1"/>
        <v>-0.4894219291797981</v>
      </c>
      <c r="J41" s="34"/>
      <c r="K41" s="34"/>
    </row>
    <row r="42" spans="1:60" x14ac:dyDescent="0.25">
      <c r="A42" s="10">
        <v>6.5279999999999996</v>
      </c>
      <c r="B42" s="10"/>
      <c r="C42" s="30"/>
      <c r="D42" s="5"/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0</v>
      </c>
      <c r="F42" s="14">
        <f t="shared" si="1"/>
        <v>0</v>
      </c>
      <c r="J42" s="34"/>
      <c r="K42" s="34"/>
    </row>
    <row r="43" spans="1:60" x14ac:dyDescent="0.25">
      <c r="A43" s="10">
        <v>6.72</v>
      </c>
      <c r="B43" s="10"/>
      <c r="C43" s="30"/>
      <c r="D43" s="5"/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0</v>
      </c>
      <c r="F43" s="14">
        <f t="shared" si="1"/>
        <v>0</v>
      </c>
      <c r="J43" s="34"/>
      <c r="K43" s="34"/>
    </row>
    <row r="44" spans="1:60" x14ac:dyDescent="0.25">
      <c r="A44" s="10">
        <v>6.9119999999999999</v>
      </c>
      <c r="B44" s="10"/>
      <c r="C44" s="30"/>
      <c r="D44" s="5"/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f t="shared" si="1"/>
        <v>0</v>
      </c>
      <c r="J44" s="34"/>
      <c r="K44" s="34"/>
    </row>
    <row r="45" spans="1:60" x14ac:dyDescent="0.25">
      <c r="A45" s="10">
        <v>7.1040000000000001</v>
      </c>
      <c r="B45" s="10"/>
      <c r="C45" s="30"/>
      <c r="D45" s="5"/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f t="shared" si="1"/>
        <v>0</v>
      </c>
      <c r="J45" s="34"/>
      <c r="K45" s="34"/>
    </row>
    <row r="46" spans="1:60" x14ac:dyDescent="0.25">
      <c r="A46" s="10">
        <v>7.2959999999999896</v>
      </c>
      <c r="B46" s="10"/>
      <c r="C46" s="30"/>
      <c r="D46" s="5"/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f t="shared" si="1"/>
        <v>0</v>
      </c>
      <c r="J46" s="34"/>
      <c r="K46" s="34"/>
    </row>
    <row r="47" spans="1:60" x14ac:dyDescent="0.25">
      <c r="A47" s="10">
        <v>7.4879999999999898</v>
      </c>
      <c r="B47" s="10"/>
      <c r="C47" s="30"/>
      <c r="D47" s="5"/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f t="shared" si="1"/>
        <v>0</v>
      </c>
      <c r="J47" s="34"/>
      <c r="K47" s="34"/>
    </row>
    <row r="48" spans="1:60" x14ac:dyDescent="0.25">
      <c r="A48" s="10">
        <v>7.6799999999999899</v>
      </c>
      <c r="B48" s="10"/>
      <c r="C48" s="30"/>
      <c r="D48" s="5"/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f t="shared" si="1"/>
        <v>0</v>
      </c>
      <c r="J48" s="34"/>
      <c r="K48" s="34"/>
    </row>
    <row r="49" spans="1:11" x14ac:dyDescent="0.25">
      <c r="A49" s="10">
        <v>7.8719999999999901</v>
      </c>
      <c r="B49" s="10"/>
      <c r="C49" s="30"/>
      <c r="D49" s="5"/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/>
      <c r="D50" s="5"/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/>
      <c r="D51" s="5"/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/>
      <c r="D52" s="5"/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/>
      <c r="D53" s="5"/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/>
      <c r="D54" s="5"/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/>
      <c r="D55" s="5"/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/>
      <c r="D56" s="5"/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/>
      <c r="D57" s="5"/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/>
      <c r="D58" s="5"/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BH248"/>
  <sheetViews>
    <sheetView zoomScaleNormal="100" workbookViewId="0">
      <selection activeCell="E11" sqref="E11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29</v>
      </c>
      <c r="D1" s="42" t="s">
        <v>15</v>
      </c>
      <c r="E1" s="43">
        <v>42684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90439.31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948.32737540479548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90065.83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982.47073939557993</v>
      </c>
      <c r="F4" s="39">
        <f>E4-E3</f>
        <v>34.143363990784451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28764</v>
      </c>
      <c r="D8" s="11">
        <v>90439.31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948.32737540479548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28786</v>
      </c>
      <c r="D9" s="5">
        <v>90380.2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953.72356927607905</v>
      </c>
      <c r="F9" s="14">
        <f t="shared" si="0"/>
        <v>5.3961938712835718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28606</v>
      </c>
      <c r="D10" s="5">
        <v>90863.91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909.64904981647021</v>
      </c>
      <c r="F10" s="14">
        <f t="shared" si="0"/>
        <v>-38.678325588325265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28856</v>
      </c>
      <c r="D11" s="5">
        <v>90192.11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970.91347470801838</v>
      </c>
      <c r="F11" s="14">
        <f t="shared" si="0"/>
        <v>22.586099303222909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28873</v>
      </c>
      <c r="D12" s="5">
        <v>90146.44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975.09172282768725</v>
      </c>
      <c r="F12" s="14">
        <f t="shared" si="0"/>
        <v>26.764347422891774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28873</v>
      </c>
      <c r="D13" s="5">
        <v>90146.44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975.09172282768725</v>
      </c>
      <c r="F13" s="14">
        <f t="shared" si="0"/>
        <v>26.764347422891774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28877</v>
      </c>
      <c r="D14" s="5">
        <v>90135.69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976.07546595232384</v>
      </c>
      <c r="F14" s="14">
        <f t="shared" si="0"/>
        <v>27.748090547528363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28661</v>
      </c>
      <c r="D15" s="5">
        <v>90716.09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923.09786159449186</v>
      </c>
      <c r="F15" s="14">
        <f t="shared" si="0"/>
        <v>-25.229513810303615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28841</v>
      </c>
      <c r="D16" s="5">
        <v>90232.41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967.2279387229197</v>
      </c>
      <c r="F16" s="14">
        <f t="shared" si="0"/>
        <v>18.900563318124227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28885</v>
      </c>
      <c r="D17" s="5">
        <v>90114.19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978.0432372448247</v>
      </c>
      <c r="F17" s="14">
        <f t="shared" si="0"/>
        <v>29.71586184002922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28896</v>
      </c>
      <c r="D18" s="5">
        <v>90084.63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980.74931469816568</v>
      </c>
      <c r="F18" s="14">
        <f t="shared" si="0"/>
        <v>32.421939293370201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28893</v>
      </c>
      <c r="D19" s="5">
        <v>90092.69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980.01138873172022</v>
      </c>
      <c r="F19" s="14">
        <f t="shared" si="0"/>
        <v>31.684013326924742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28881</v>
      </c>
      <c r="D20" s="5">
        <v>90124.94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977.05930408453173</v>
      </c>
      <c r="F20" s="14">
        <f t="shared" si="0"/>
        <v>28.731928679736257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28877</v>
      </c>
      <c r="D21" s="5">
        <v>90135.69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976.07546595232384</v>
      </c>
      <c r="F21" s="14">
        <f t="shared" si="0"/>
        <v>27.748090547528363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28864</v>
      </c>
      <c r="D22" s="5">
        <v>90170.61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972.88024907976558</v>
      </c>
      <c r="F22" s="14">
        <f t="shared" si="0"/>
        <v>24.552873674970101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28903</v>
      </c>
      <c r="D23" s="5">
        <v>90065.83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982.47073939557993</v>
      </c>
      <c r="F23" s="14">
        <f t="shared" si="0"/>
        <v>34.143363990784451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28893</v>
      </c>
      <c r="D24" s="5">
        <v>90092.69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980.01138873172022</v>
      </c>
      <c r="F24" s="14">
        <f t="shared" si="0"/>
        <v>31.684013326924742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28878</v>
      </c>
      <c r="D25" s="5">
        <v>90133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976.32164537166193</v>
      </c>
      <c r="F25" s="14">
        <f t="shared" si="0"/>
        <v>27.994269966866455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28867</v>
      </c>
      <c r="D26" s="5">
        <v>90162.55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973.61765863494497</v>
      </c>
      <c r="F26" s="14">
        <f t="shared" si="0"/>
        <v>25.290283230149498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28862</v>
      </c>
      <c r="D27" s="5">
        <v>90175.98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972.3889773018293</v>
      </c>
      <c r="F27" s="14">
        <f t="shared" si="0"/>
        <v>24.061601897033825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28849</v>
      </c>
      <c r="D28" s="5">
        <v>90210.92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969.193087163114</v>
      </c>
      <c r="F28" s="14">
        <f t="shared" si="0"/>
        <v>20.865711758318525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28829</v>
      </c>
      <c r="D29" s="5">
        <v>90264.66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964.27955538253343</v>
      </c>
      <c r="F29" s="14">
        <f t="shared" si="0"/>
        <v>15.952179977737956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28817</v>
      </c>
      <c r="D30" s="5">
        <v>90296.9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961.33293873143919</v>
      </c>
      <c r="F30" s="14">
        <f t="shared" si="0"/>
        <v>13.00556332664371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28815</v>
      </c>
      <c r="D31" s="5">
        <v>90302.27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960.84222337857739</v>
      </c>
      <c r="F31" s="14">
        <f t="shared" si="0"/>
        <v>12.514847973781912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28820</v>
      </c>
      <c r="D32" s="5">
        <v>90288.84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962.06951301843287</v>
      </c>
      <c r="F32" s="14">
        <f t="shared" si="0"/>
        <v>13.742137613637396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28821</v>
      </c>
      <c r="D33" s="5">
        <v>90286.15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962.31535425215816</v>
      </c>
      <c r="F33" s="14">
        <f t="shared" si="0"/>
        <v>13.987978847362683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28800</v>
      </c>
      <c r="D34" s="5">
        <v>90342.58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957.15941412043651</v>
      </c>
      <c r="F34" s="14">
        <f>IF(D34&lt;&gt;0,E34-$E$3,0)</f>
        <v>8.8320387156410334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28817</v>
      </c>
      <c r="D35" s="5">
        <v>90296.9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961.33293873143919</v>
      </c>
      <c r="F35" s="14">
        <f t="shared" ref="F35:F98" si="1">IF(D35&lt;&gt;0,E35-$E$3,0)</f>
        <v>13.00556332664371</v>
      </c>
      <c r="J35" s="34"/>
      <c r="K35" s="34"/>
    </row>
    <row r="36" spans="1:60" x14ac:dyDescent="0.25">
      <c r="A36" s="10">
        <v>5.3760000000000003</v>
      </c>
      <c r="B36" s="10"/>
      <c r="C36" s="30">
        <v>28817</v>
      </c>
      <c r="D36" s="5">
        <v>90296.9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961.33293873143919</v>
      </c>
      <c r="F36" s="14">
        <f t="shared" si="1"/>
        <v>13.00556332664371</v>
      </c>
      <c r="J36" s="34"/>
      <c r="K36" s="34"/>
    </row>
    <row r="37" spans="1:60" x14ac:dyDescent="0.25">
      <c r="A37" s="10">
        <v>5.5679999999999996</v>
      </c>
      <c r="B37" s="10"/>
      <c r="C37" s="30">
        <v>28817</v>
      </c>
      <c r="D37" s="5">
        <v>90296.9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961.33293873143919</v>
      </c>
      <c r="F37" s="14">
        <f t="shared" si="1"/>
        <v>13.00556332664371</v>
      </c>
      <c r="J37" s="34"/>
      <c r="K37" s="34"/>
    </row>
    <row r="38" spans="1:60" x14ac:dyDescent="0.25">
      <c r="A38" s="10">
        <v>5.76</v>
      </c>
      <c r="B38" s="10"/>
      <c r="C38" s="30">
        <v>28821</v>
      </c>
      <c r="D38" s="5">
        <v>90286.15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962.31535425215816</v>
      </c>
      <c r="F38" s="14">
        <f t="shared" si="1"/>
        <v>13.987978847362683</v>
      </c>
      <c r="J38" s="34"/>
      <c r="K38" s="34"/>
    </row>
    <row r="39" spans="1:60" x14ac:dyDescent="0.25">
      <c r="A39" s="10">
        <v>5.952</v>
      </c>
      <c r="B39" s="10"/>
      <c r="C39" s="30">
        <v>28812</v>
      </c>
      <c r="D39" s="5">
        <v>90310.33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960.10573779176491</v>
      </c>
      <c r="F39" s="14">
        <f t="shared" si="1"/>
        <v>11.778362386969434</v>
      </c>
      <c r="J39" s="34"/>
      <c r="K39" s="34"/>
    </row>
    <row r="40" spans="1:60" x14ac:dyDescent="0.25">
      <c r="A40" s="10">
        <v>6.1440000000000001</v>
      </c>
      <c r="B40" s="10"/>
      <c r="C40" s="30">
        <v>28813</v>
      </c>
      <c r="D40" s="5">
        <v>90307.65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960.35061791154135</v>
      </c>
      <c r="F40" s="14">
        <f t="shared" si="1"/>
        <v>12.023242506745873</v>
      </c>
      <c r="J40" s="34"/>
      <c r="K40" s="34"/>
    </row>
    <row r="41" spans="1:60" x14ac:dyDescent="0.25">
      <c r="A41" s="10">
        <v>6.3360000000000003</v>
      </c>
      <c r="B41" s="10"/>
      <c r="C41" s="30">
        <v>28811</v>
      </c>
      <c r="D41" s="5">
        <v>90313.02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959.85994985740251</v>
      </c>
      <c r="F41" s="14">
        <f t="shared" si="1"/>
        <v>11.532574452607037</v>
      </c>
      <c r="J41" s="34"/>
      <c r="K41" s="34"/>
    </row>
    <row r="42" spans="1:60" x14ac:dyDescent="0.25">
      <c r="A42" s="10">
        <v>6.5279999999999996</v>
      </c>
      <c r="B42" s="10"/>
      <c r="C42" s="30">
        <v>28811</v>
      </c>
      <c r="D42" s="5">
        <v>90313.02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959.85994985740251</v>
      </c>
      <c r="F42" s="14">
        <f t="shared" si="1"/>
        <v>11.532574452607037</v>
      </c>
      <c r="J42" s="34"/>
      <c r="K42" s="34"/>
    </row>
    <row r="43" spans="1:60" x14ac:dyDescent="0.25">
      <c r="A43" s="10">
        <v>6.72</v>
      </c>
      <c r="B43" s="10"/>
      <c r="C43" s="30">
        <v>28809</v>
      </c>
      <c r="D43" s="5">
        <v>90318.39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959.36930542681318</v>
      </c>
      <c r="F43" s="14">
        <f t="shared" si="1"/>
        <v>11.041930022017709</v>
      </c>
      <c r="J43" s="34"/>
      <c r="K43" s="34"/>
    </row>
    <row r="44" spans="1:60" x14ac:dyDescent="0.25">
      <c r="A44" s="10">
        <v>6.9119999999999999</v>
      </c>
      <c r="B44" s="10"/>
      <c r="C44" s="30">
        <v>28810</v>
      </c>
      <c r="D44" s="5">
        <v>90315.7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959.61508152772569</v>
      </c>
      <c r="F44" s="14">
        <f t="shared" si="1"/>
        <v>11.287706122930217</v>
      </c>
      <c r="J44" s="34"/>
      <c r="K44" s="34"/>
    </row>
    <row r="45" spans="1:60" x14ac:dyDescent="0.25">
      <c r="A45" s="10">
        <v>7.1040000000000001</v>
      </c>
      <c r="B45" s="10"/>
      <c r="C45" s="30">
        <v>28809</v>
      </c>
      <c r="D45" s="5">
        <v>90318.39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959.36930542681318</v>
      </c>
      <c r="F45" s="14">
        <f t="shared" si="1"/>
        <v>11.041930022017709</v>
      </c>
      <c r="J45" s="34"/>
      <c r="K45" s="34"/>
    </row>
    <row r="46" spans="1:60" x14ac:dyDescent="0.25">
      <c r="A46" s="10">
        <v>7.2959999999999896</v>
      </c>
      <c r="B46" s="10"/>
      <c r="C46" s="30">
        <v>28809</v>
      </c>
      <c r="D46" s="5">
        <v>90318.39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959.36930542681318</v>
      </c>
      <c r="F46" s="14">
        <f t="shared" si="1"/>
        <v>11.041930022017709</v>
      </c>
      <c r="J46" s="34"/>
      <c r="K46" s="34"/>
    </row>
    <row r="47" spans="1:60" x14ac:dyDescent="0.25">
      <c r="A47" s="10">
        <v>7.4879999999999898</v>
      </c>
      <c r="B47" s="10"/>
      <c r="C47" s="30">
        <v>28807</v>
      </c>
      <c r="D47" s="5">
        <v>90323.77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958.87777100647031</v>
      </c>
      <c r="F47" s="14">
        <f t="shared" si="1"/>
        <v>10.550395601674836</v>
      </c>
      <c r="J47" s="34"/>
      <c r="K47" s="34"/>
    </row>
    <row r="48" spans="1:60" x14ac:dyDescent="0.25">
      <c r="A48" s="10">
        <v>7.6799999999999899</v>
      </c>
      <c r="B48" s="10"/>
      <c r="C48" s="30">
        <v>28805</v>
      </c>
      <c r="D48" s="5">
        <v>90329.14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958.38717385932682</v>
      </c>
      <c r="F48" s="14">
        <f t="shared" si="1"/>
        <v>10.059798454531347</v>
      </c>
      <c r="J48" s="34"/>
      <c r="K48" s="34"/>
    </row>
    <row r="49" spans="1:11" x14ac:dyDescent="0.25">
      <c r="A49" s="10">
        <v>7.8719999999999901</v>
      </c>
      <c r="B49" s="10"/>
      <c r="C49" s="30">
        <v>28807</v>
      </c>
      <c r="D49" s="5">
        <v>90323.77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958.87777100647031</v>
      </c>
      <c r="F49" s="14">
        <f t="shared" si="1"/>
        <v>10.550395601674836</v>
      </c>
      <c r="J49" s="34"/>
      <c r="K49" s="34"/>
    </row>
    <row r="50" spans="1:11" x14ac:dyDescent="0.25">
      <c r="A50" s="10">
        <v>8.0639999999999894</v>
      </c>
      <c r="B50" s="10"/>
      <c r="C50" s="30">
        <v>28805</v>
      </c>
      <c r="D50" s="5">
        <v>90329.14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958.38717385932682</v>
      </c>
      <c r="F50" s="14">
        <f t="shared" si="1"/>
        <v>10.059798454531347</v>
      </c>
      <c r="J50" s="34"/>
      <c r="K50" s="34"/>
    </row>
    <row r="51" spans="1:11" x14ac:dyDescent="0.25">
      <c r="A51" s="10">
        <v>8.2559999999999896</v>
      </c>
      <c r="B51" s="10"/>
      <c r="C51" s="30">
        <v>28805</v>
      </c>
      <c r="D51" s="5">
        <v>90329.14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958.38717385932682</v>
      </c>
      <c r="F51" s="14">
        <f t="shared" si="1"/>
        <v>10.059798454531347</v>
      </c>
      <c r="J51" s="34"/>
      <c r="K51" s="34"/>
    </row>
    <row r="52" spans="1:11" x14ac:dyDescent="0.25">
      <c r="A52" s="10">
        <v>8.4479999999999897</v>
      </c>
      <c r="B52" s="10"/>
      <c r="C52" s="30">
        <v>28807</v>
      </c>
      <c r="D52" s="5">
        <v>90323.77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958.87777100647031</v>
      </c>
      <c r="F52" s="14">
        <f t="shared" si="1"/>
        <v>10.550395601674836</v>
      </c>
      <c r="J52" s="34"/>
      <c r="K52" s="34"/>
    </row>
    <row r="53" spans="1:11" x14ac:dyDescent="0.25">
      <c r="A53" s="10">
        <v>8.6399999999999899</v>
      </c>
      <c r="B53" s="10"/>
      <c r="C53" s="30">
        <v>28804</v>
      </c>
      <c r="D53" s="5">
        <v>90331.83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958.14142736951726</v>
      </c>
      <c r="F53" s="14">
        <f t="shared" si="1"/>
        <v>9.8140519647217843</v>
      </c>
      <c r="J53" s="34"/>
      <c r="K53" s="34"/>
    </row>
    <row r="54" spans="1:11" x14ac:dyDescent="0.25">
      <c r="A54" s="10">
        <v>8.8319999999999901</v>
      </c>
      <c r="B54" s="10"/>
      <c r="C54" s="30">
        <v>28804</v>
      </c>
      <c r="D54" s="5">
        <v>90331.83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958.14142736951726</v>
      </c>
      <c r="F54" s="14">
        <f t="shared" si="1"/>
        <v>9.8140519647217843</v>
      </c>
      <c r="J54" s="34"/>
      <c r="K54" s="34"/>
    </row>
    <row r="55" spans="1:11" x14ac:dyDescent="0.25">
      <c r="A55" s="10">
        <v>9.0239999999999903</v>
      </c>
      <c r="B55" s="10"/>
      <c r="C55" s="30">
        <v>28803</v>
      </c>
      <c r="D55" s="5">
        <v>90334.52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957.89568680538025</v>
      </c>
      <c r="F55" s="14">
        <f t="shared" si="1"/>
        <v>9.5683114005847756</v>
      </c>
      <c r="J55" s="34"/>
      <c r="K55" s="34"/>
    </row>
    <row r="56" spans="1:11" x14ac:dyDescent="0.25">
      <c r="A56" s="10">
        <v>9.2159999999999904</v>
      </c>
      <c r="B56" s="10"/>
      <c r="C56" s="30">
        <v>28805</v>
      </c>
      <c r="D56" s="5">
        <v>90329.14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958.38717385932682</v>
      </c>
      <c r="F56" s="14">
        <f t="shared" si="1"/>
        <v>10.059798454531347</v>
      </c>
      <c r="J56" s="34"/>
      <c r="K56" s="34"/>
    </row>
    <row r="57" spans="1:11" x14ac:dyDescent="0.25">
      <c r="A57" s="10">
        <v>9.4079999999999906</v>
      </c>
      <c r="B57" s="10"/>
      <c r="C57" s="30">
        <v>28803</v>
      </c>
      <c r="D57" s="5">
        <v>90334.52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957.89568680538025</v>
      </c>
      <c r="F57" s="14">
        <f t="shared" si="1"/>
        <v>9.5683114005847756</v>
      </c>
      <c r="J57" s="34"/>
      <c r="K57" s="34"/>
    </row>
    <row r="58" spans="1:11" x14ac:dyDescent="0.25">
      <c r="A58" s="10">
        <v>9.5999999999999908</v>
      </c>
      <c r="B58" s="10"/>
      <c r="C58" s="30">
        <v>28804</v>
      </c>
      <c r="D58" s="5">
        <v>90331.83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958.14142736951726</v>
      </c>
      <c r="F58" s="14">
        <f t="shared" si="1"/>
        <v>9.8140519647217843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BH248"/>
  <sheetViews>
    <sheetView zoomScaleNormal="100" workbookViewId="0">
      <selection activeCell="D17" sqref="D17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/>
      <c r="D1" s="44" t="s">
        <v>15</v>
      </c>
      <c r="E1" s="43"/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91757.41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828.73260565255657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84485.63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1506.7846917327174</v>
      </c>
      <c r="F4" s="39">
        <f>E4-E3</f>
        <v>678.05208608016085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30062</v>
      </c>
      <c r="D8" s="11">
        <v>91297.73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870.28170151421443</v>
      </c>
      <c r="F8" s="13">
        <f t="shared" ref="F8:F33" si="0">IF(D8&lt;&gt;0,E8-$E$3,0)</f>
        <v>41.549095861657861</v>
      </c>
      <c r="J8" s="34"/>
      <c r="K8" s="34"/>
    </row>
    <row r="9" spans="1:56" x14ac:dyDescent="0.25">
      <c r="A9" s="10">
        <v>0.192</v>
      </c>
      <c r="B9" s="10"/>
      <c r="C9" s="30">
        <v>30043</v>
      </c>
      <c r="D9" s="5">
        <v>91348.21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865.71069708839048</v>
      </c>
      <c r="F9" s="14">
        <f t="shared" si="0"/>
        <v>36.978091435833903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30388</v>
      </c>
      <c r="D10" s="5">
        <v>90431.73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949.01919932894691</v>
      </c>
      <c r="F10" s="14">
        <f t="shared" si="0"/>
        <v>120.28659367639034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29971</v>
      </c>
      <c r="D11" s="5">
        <v>91539.520000000004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848.40596644586856</v>
      </c>
      <c r="F11" s="14">
        <f t="shared" si="0"/>
        <v>19.673360793311986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29985</v>
      </c>
      <c r="D12" s="5">
        <v>91502.31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851.76945957692442</v>
      </c>
      <c r="F12" s="14">
        <f t="shared" si="0"/>
        <v>23.036853924367847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29998</v>
      </c>
      <c r="D13" s="5">
        <v>91467.77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854.89259691505356</v>
      </c>
      <c r="F13" s="14">
        <f t="shared" si="0"/>
        <v>26.159991262496987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30015</v>
      </c>
      <c r="D14" s="5">
        <v>91422.6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858.97834961762828</v>
      </c>
      <c r="F14" s="14">
        <f t="shared" si="0"/>
        <v>30.245743965071711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30035</v>
      </c>
      <c r="D15" s="5">
        <v>91369.47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863.78619915575393</v>
      </c>
      <c r="F15" s="14">
        <f t="shared" si="0"/>
        <v>35.053593503197362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30043</v>
      </c>
      <c r="D16" s="5">
        <v>91348.21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865.71069708839048</v>
      </c>
      <c r="F16" s="14">
        <f t="shared" si="0"/>
        <v>36.978091435833903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30531</v>
      </c>
      <c r="D17" s="5">
        <v>90051.93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983.7436819878742</v>
      </c>
      <c r="F17" s="14">
        <f t="shared" si="0"/>
        <v>155.01107633531763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30577</v>
      </c>
      <c r="D18" s="5">
        <v>89929.77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994.93777305736762</v>
      </c>
      <c r="F18" s="14">
        <f t="shared" si="0"/>
        <v>166.20516740481105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30465</v>
      </c>
      <c r="D19" s="5">
        <v>90227.22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967.70250244592114</v>
      </c>
      <c r="F19" s="14">
        <f t="shared" si="0"/>
        <v>138.96989679336457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30575</v>
      </c>
      <c r="D20" s="5">
        <v>89935.08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994.45093707460421</v>
      </c>
      <c r="F20" s="14">
        <f t="shared" si="0"/>
        <v>165.71833142204764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30582</v>
      </c>
      <c r="D21" s="5">
        <v>89916.5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996.15450637676406</v>
      </c>
      <c r="F21" s="14">
        <f t="shared" si="0"/>
        <v>167.42190072420749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30571</v>
      </c>
      <c r="D22" s="5">
        <v>89945.7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993.47733493028591</v>
      </c>
      <c r="F22" s="14">
        <f t="shared" si="0"/>
        <v>164.74472927772933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30568</v>
      </c>
      <c r="D23" s="5">
        <v>89953.67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992.74673607916861</v>
      </c>
      <c r="F23" s="14">
        <f t="shared" si="0"/>
        <v>164.01413042661204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30555</v>
      </c>
      <c r="D24" s="5">
        <v>89988.2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989.5820242007735</v>
      </c>
      <c r="F24" s="14">
        <f t="shared" si="0"/>
        <v>160.84941854821693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30548</v>
      </c>
      <c r="D25" s="5">
        <v>90006.79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987.87863775339542</v>
      </c>
      <c r="F25" s="14">
        <f t="shared" si="0"/>
        <v>159.14603210083885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30332</v>
      </c>
      <c r="D26" s="5">
        <v>90580.47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935.45232282872064</v>
      </c>
      <c r="F26" s="14">
        <f t="shared" si="0"/>
        <v>106.71971717616407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30527</v>
      </c>
      <c r="D27" s="5">
        <v>90062.55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982.77110287526364</v>
      </c>
      <c r="F27" s="14">
        <f t="shared" si="0"/>
        <v>154.03849722270706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30525</v>
      </c>
      <c r="D28" s="5">
        <v>90067.86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982.28484814266994</v>
      </c>
      <c r="F28" s="14">
        <f t="shared" si="0"/>
        <v>153.55224249011337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30508</v>
      </c>
      <c r="D29" s="5">
        <v>90113.02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978.15033151912269</v>
      </c>
      <c r="F29" s="14">
        <f t="shared" si="0"/>
        <v>149.41772586656612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30514</v>
      </c>
      <c r="D30" s="5">
        <v>90097.08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979.60948876301461</v>
      </c>
      <c r="F30" s="14">
        <f t="shared" si="0"/>
        <v>150.87688311045804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30501</v>
      </c>
      <c r="D31" s="5">
        <v>90131.6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976.44977084339996</v>
      </c>
      <c r="F31" s="14">
        <f t="shared" si="0"/>
        <v>147.71716519084339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30494</v>
      </c>
      <c r="D32" s="5">
        <v>90150.2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974.74766393450375</v>
      </c>
      <c r="F32" s="14">
        <f t="shared" si="0"/>
        <v>146.01505828194718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30489</v>
      </c>
      <c r="D33" s="5">
        <v>90163.48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973.5325701929363</v>
      </c>
      <c r="F33" s="14">
        <f t="shared" si="0"/>
        <v>144.79996454037973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30466</v>
      </c>
      <c r="D34" s="5">
        <v>90224.56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967.94573635129041</v>
      </c>
      <c r="F34" s="14">
        <f>IF(D34&lt;&gt;0,E34-$E$3,0)</f>
        <v>139.21313069873383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30464</v>
      </c>
      <c r="D35" s="5">
        <v>90229.88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967.45927434695216</v>
      </c>
      <c r="F35" s="14">
        <f t="shared" ref="F35:F98" si="1">IF(D35&lt;&gt;0,E35-$E$3,0)</f>
        <v>138.72666869439558</v>
      </c>
      <c r="J35" s="34"/>
      <c r="K35" s="34"/>
    </row>
    <row r="36" spans="1:60" x14ac:dyDescent="0.25">
      <c r="A36" s="10">
        <v>5.3760000000000003</v>
      </c>
      <c r="B36" s="10"/>
      <c r="C36" s="30">
        <v>30429</v>
      </c>
      <c r="D36" s="5">
        <v>90322.83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958.96365077587768</v>
      </c>
      <c r="F36" s="14">
        <f t="shared" si="1"/>
        <v>130.23104512332111</v>
      </c>
      <c r="J36" s="34"/>
      <c r="K36" s="34"/>
    </row>
    <row r="37" spans="1:60" x14ac:dyDescent="0.25">
      <c r="A37" s="10">
        <v>5.5679999999999996</v>
      </c>
      <c r="B37" s="10"/>
      <c r="C37" s="30">
        <v>30393</v>
      </c>
      <c r="D37" s="5">
        <v>90418.45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950.23137344524525</v>
      </c>
      <c r="F37" s="14">
        <f t="shared" si="1"/>
        <v>121.49876779268868</v>
      </c>
      <c r="J37" s="34"/>
      <c r="K37" s="34"/>
    </row>
    <row r="38" spans="1:60" x14ac:dyDescent="0.25">
      <c r="A38" s="10">
        <v>5.76</v>
      </c>
      <c r="B38" s="10"/>
      <c r="C38" s="30">
        <v>30406</v>
      </c>
      <c r="D38" s="5">
        <v>90383.91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953.3847967022275</v>
      </c>
      <c r="F38" s="14">
        <f t="shared" si="1"/>
        <v>124.65219104967093</v>
      </c>
      <c r="J38" s="34"/>
      <c r="K38" s="34"/>
    </row>
    <row r="39" spans="1:60" x14ac:dyDescent="0.25">
      <c r="A39" s="10">
        <v>5.952</v>
      </c>
      <c r="B39" s="10"/>
      <c r="C39" s="30">
        <v>30389</v>
      </c>
      <c r="D39" s="5">
        <v>90429.06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949.26290046931297</v>
      </c>
      <c r="F39" s="14">
        <f t="shared" si="1"/>
        <v>120.5302948167564</v>
      </c>
      <c r="J39" s="34"/>
      <c r="K39" s="34"/>
    </row>
    <row r="40" spans="1:60" x14ac:dyDescent="0.25">
      <c r="A40" s="10">
        <v>6.1440000000000001</v>
      </c>
      <c r="B40" s="10"/>
      <c r="C40" s="30">
        <v>30326</v>
      </c>
      <c r="D40" s="5">
        <v>90596.41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933.99947358520046</v>
      </c>
      <c r="F40" s="14">
        <f t="shared" si="1"/>
        <v>105.26686793264389</v>
      </c>
      <c r="J40" s="34"/>
      <c r="K40" s="34"/>
    </row>
    <row r="41" spans="1:60" x14ac:dyDescent="0.25">
      <c r="A41" s="10">
        <v>6.3360000000000003</v>
      </c>
      <c r="B41" s="10"/>
      <c r="C41" s="30">
        <v>30353</v>
      </c>
      <c r="D41" s="5">
        <v>90524.69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940.53801406611683</v>
      </c>
      <c r="F41" s="14">
        <f t="shared" si="1"/>
        <v>111.80540841356026</v>
      </c>
      <c r="J41" s="34"/>
      <c r="K41" s="34"/>
    </row>
    <row r="42" spans="1:60" x14ac:dyDescent="0.25">
      <c r="A42" s="10">
        <v>6.5279999999999996</v>
      </c>
      <c r="B42" s="10"/>
      <c r="C42" s="30">
        <v>30294</v>
      </c>
      <c r="D42" s="5">
        <v>90681.41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926.25565245640769</v>
      </c>
      <c r="F42" s="14">
        <f t="shared" si="1"/>
        <v>97.523046803851116</v>
      </c>
      <c r="J42" s="34"/>
      <c r="K42" s="34"/>
    </row>
    <row r="43" spans="1:60" x14ac:dyDescent="0.25">
      <c r="A43" s="10">
        <v>6.72</v>
      </c>
      <c r="B43" s="10"/>
      <c r="C43" s="30">
        <v>30308</v>
      </c>
      <c r="D43" s="5">
        <v>90644.22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929.6430784153348</v>
      </c>
      <c r="F43" s="14">
        <f t="shared" si="1"/>
        <v>100.91047276277823</v>
      </c>
      <c r="J43" s="34"/>
      <c r="K43" s="34"/>
    </row>
    <row r="44" spans="1:60" x14ac:dyDescent="0.25">
      <c r="A44" s="10">
        <v>6.9119999999999999</v>
      </c>
      <c r="B44" s="10"/>
      <c r="C44" s="30">
        <v>30009</v>
      </c>
      <c r="D44" s="5">
        <v>91438.55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857.53544090120079</v>
      </c>
      <c r="F44" s="14">
        <f t="shared" si="1"/>
        <v>28.802835248644215</v>
      </c>
      <c r="J44" s="34"/>
      <c r="K44" s="34"/>
    </row>
    <row r="45" spans="1:60" x14ac:dyDescent="0.25">
      <c r="A45" s="10">
        <v>7.1040000000000001</v>
      </c>
      <c r="B45" s="10"/>
      <c r="C45" s="30">
        <v>30265</v>
      </c>
      <c r="D45" s="5">
        <v>90758.44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919.24300354991817</v>
      </c>
      <c r="F45" s="14">
        <f t="shared" si="1"/>
        <v>90.510397897361599</v>
      </c>
      <c r="J45" s="34"/>
      <c r="K45" s="34"/>
    </row>
    <row r="46" spans="1:60" x14ac:dyDescent="0.25">
      <c r="A46" s="10">
        <v>7.2959999999999896</v>
      </c>
      <c r="B46" s="10"/>
      <c r="C46" s="30">
        <v>30255</v>
      </c>
      <c r="D46" s="5">
        <v>90785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916.8261544644713</v>
      </c>
      <c r="F46" s="14">
        <f t="shared" si="1"/>
        <v>88.093548811914729</v>
      </c>
      <c r="J46" s="34"/>
      <c r="K46" s="34"/>
    </row>
    <row r="47" spans="1:60" x14ac:dyDescent="0.25">
      <c r="A47" s="10">
        <v>7.4879999999999898</v>
      </c>
      <c r="B47" s="10"/>
      <c r="C47" s="30">
        <v>30235</v>
      </c>
      <c r="D47" s="5">
        <v>90838.13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911.99326399368931</v>
      </c>
      <c r="F47" s="14">
        <f t="shared" si="1"/>
        <v>83.260658341132739</v>
      </c>
      <c r="J47" s="34"/>
      <c r="K47" s="34"/>
    </row>
    <row r="48" spans="1:60" x14ac:dyDescent="0.25">
      <c r="A48" s="10">
        <v>7.6799999999999899</v>
      </c>
      <c r="B48" s="10"/>
      <c r="C48" s="30">
        <v>30176</v>
      </c>
      <c r="D48" s="5">
        <v>90994.86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897.74987820871968</v>
      </c>
      <c r="F48" s="14">
        <f t="shared" si="1"/>
        <v>69.017272556163107</v>
      </c>
      <c r="J48" s="34"/>
      <c r="K48" s="34"/>
    </row>
    <row r="49" spans="1:11" x14ac:dyDescent="0.25">
      <c r="A49" s="10">
        <v>7.8719999999999901</v>
      </c>
      <c r="B49" s="10"/>
      <c r="C49" s="30"/>
      <c r="D49" s="5"/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/>
      <c r="D50" s="5"/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/>
      <c r="D51" s="5"/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/>
      <c r="D52" s="5"/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/>
      <c r="D53" s="5"/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/>
      <c r="D54" s="5"/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/>
      <c r="D55" s="5"/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/>
      <c r="D56" s="5"/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/>
      <c r="D57" s="5"/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/>
      <c r="D58" s="5"/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BH248"/>
  <sheetViews>
    <sheetView tabSelected="1" zoomScaleNormal="100" workbookViewId="0">
      <selection activeCell="C1" sqref="C1"/>
    </sheetView>
  </sheetViews>
  <sheetFormatPr defaultRowHeight="15" x14ac:dyDescent="0.25"/>
  <cols>
    <col min="1" max="1" width="9.5703125" customWidth="1"/>
    <col min="2" max="2" width="1.5703125" customWidth="1"/>
    <col min="3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49" t="s">
        <v>23</v>
      </c>
      <c r="B1" s="50"/>
      <c r="C1" s="21" t="s">
        <v>30</v>
      </c>
      <c r="D1" s="45" t="s">
        <v>15</v>
      </c>
      <c r="E1" s="43">
        <v>42695</v>
      </c>
      <c r="F1" s="35"/>
      <c r="G1" s="35"/>
    </row>
    <row r="2" spans="1:56" ht="16.5" thickTop="1" thickBot="1" x14ac:dyDescent="0.3">
      <c r="A2" s="51"/>
      <c r="B2" s="52"/>
      <c r="C2" s="52"/>
      <c r="D2" s="23"/>
      <c r="E2" s="26" t="s">
        <v>14</v>
      </c>
      <c r="F2" s="37"/>
    </row>
    <row r="3" spans="1:56" x14ac:dyDescent="0.25">
      <c r="A3" s="53" t="s">
        <v>16</v>
      </c>
      <c r="B3" s="54"/>
      <c r="C3" s="54"/>
      <c r="D3" s="8">
        <v>90767.41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918.42670696802384</v>
      </c>
      <c r="F3" s="38" t="s">
        <v>18</v>
      </c>
    </row>
    <row r="4" spans="1:56" x14ac:dyDescent="0.25">
      <c r="A4" s="53" t="s">
        <v>17</v>
      </c>
      <c r="B4" s="54"/>
      <c r="C4" s="54"/>
      <c r="D4" s="8">
        <v>90215.45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968.77881075628682</v>
      </c>
      <c r="F4" s="39">
        <f>E4-E3</f>
        <v>50.35210378826298</v>
      </c>
    </row>
    <row r="5" spans="1:56" ht="15.75" thickBot="1" x14ac:dyDescent="0.3">
      <c r="A5" s="47"/>
      <c r="B5" s="48"/>
      <c r="C5" s="48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>
        <v>30543</v>
      </c>
      <c r="D8" s="11">
        <v>90767.41</v>
      </c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918.42670696802384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>
        <v>30559</v>
      </c>
      <c r="D9" s="5">
        <v>90724.53</v>
      </c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922.32950445040808</v>
      </c>
      <c r="F9" s="14">
        <f t="shared" si="0"/>
        <v>3.9027974823842442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>
        <v>30568</v>
      </c>
      <c r="D10" s="5">
        <v>90700.41</v>
      </c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924.52548446878586</v>
      </c>
      <c r="F10" s="14">
        <f t="shared" si="0"/>
        <v>6.0987775007620257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>
        <v>30614</v>
      </c>
      <c r="D11" s="5">
        <v>90577.16</v>
      </c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935.7540383092977</v>
      </c>
      <c r="F11" s="14">
        <f t="shared" si="0"/>
        <v>17.327331341273862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>
        <v>30628</v>
      </c>
      <c r="D12" s="5">
        <v>90539.64</v>
      </c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939.17471243456021</v>
      </c>
      <c r="F12" s="14">
        <f t="shared" si="0"/>
        <v>20.74800546653637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>
        <v>30642</v>
      </c>
      <c r="D13" s="5">
        <v>90502.13</v>
      </c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942.59562243537448</v>
      </c>
      <c r="F13" s="14">
        <f t="shared" si="0"/>
        <v>24.168915467350644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>
        <v>30657</v>
      </c>
      <c r="D14" s="5">
        <v>90461.94</v>
      </c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946.26222258643975</v>
      </c>
      <c r="F14" s="14">
        <f t="shared" si="0"/>
        <v>27.835515618415911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>
        <v>30671</v>
      </c>
      <c r="D15" s="5">
        <v>90424.42</v>
      </c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949.68642492642948</v>
      </c>
      <c r="F15" s="14">
        <f t="shared" si="0"/>
        <v>31.259717958405645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>
        <v>30681</v>
      </c>
      <c r="D16" s="5">
        <v>90397.64</v>
      </c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952.13116217385789</v>
      </c>
      <c r="F16" s="14">
        <f t="shared" si="0"/>
        <v>33.704455205834051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>
        <v>30692</v>
      </c>
      <c r="D17" s="5">
        <v>90368.16</v>
      </c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954.82305973075302</v>
      </c>
      <c r="F17" s="14">
        <f t="shared" si="0"/>
        <v>36.39635276272918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>
        <v>30703</v>
      </c>
      <c r="D18" s="5">
        <v>90338.69</v>
      </c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957.51475496639466</v>
      </c>
      <c r="F18" s="14">
        <f t="shared" si="0"/>
        <v>39.088047998370826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>
        <v>30711</v>
      </c>
      <c r="D19" s="5">
        <v>90317.25</v>
      </c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959.47346260459983</v>
      </c>
      <c r="F19" s="14">
        <f t="shared" si="0"/>
        <v>41.046755636575995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>
        <v>30721</v>
      </c>
      <c r="D20" s="5">
        <v>90290.47</v>
      </c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961.92054891120222</v>
      </c>
      <c r="F20" s="14">
        <f t="shared" si="0"/>
        <v>43.493841943178381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>
        <v>30727</v>
      </c>
      <c r="D21" s="5">
        <v>90274.39</v>
      </c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963.39017962719936</v>
      </c>
      <c r="F21" s="14">
        <f t="shared" si="0"/>
        <v>44.963472659175522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>
        <v>30731</v>
      </c>
      <c r="D22" s="5">
        <v>90263.67</v>
      </c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964.37005120301933</v>
      </c>
      <c r="F22" s="14">
        <f t="shared" si="0"/>
        <v>45.943344234995493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>
        <v>30740</v>
      </c>
      <c r="D23" s="5">
        <v>90239.56</v>
      </c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966.57419252789441</v>
      </c>
      <c r="F23" s="14">
        <f t="shared" si="0"/>
        <v>48.147485559870574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>
        <v>30743</v>
      </c>
      <c r="D24" s="5">
        <v>90231.52</v>
      </c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967.30931705901514</v>
      </c>
      <c r="F24" s="14">
        <f t="shared" si="0"/>
        <v>48.882610090991307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>
        <v>30747</v>
      </c>
      <c r="D25" s="5">
        <v>90220.800000000003</v>
      </c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968.28956561143934</v>
      </c>
      <c r="F25" s="14">
        <f t="shared" si="0"/>
        <v>49.862858643415507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>
        <v>30749</v>
      </c>
      <c r="D26" s="5">
        <v>90215.45</v>
      </c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968.77881075628682</v>
      </c>
      <c r="F26" s="14">
        <f t="shared" si="0"/>
        <v>50.35210378826298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>
        <v>30749</v>
      </c>
      <c r="D27" s="5">
        <v>90215.45</v>
      </c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968.77881075628682</v>
      </c>
      <c r="F27" s="14">
        <f t="shared" si="0"/>
        <v>50.35210378826298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>
        <v>30745</v>
      </c>
      <c r="D28" s="5">
        <v>90226.16</v>
      </c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967.79942954689204</v>
      </c>
      <c r="F28" s="14">
        <f t="shared" si="0"/>
        <v>49.372722578868206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>
        <v>30734</v>
      </c>
      <c r="D29" s="5">
        <v>90255.63</v>
      </c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965.10501672598889</v>
      </c>
      <c r="F29" s="14">
        <f t="shared" si="0"/>
        <v>46.678309757965053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>
        <v>30737</v>
      </c>
      <c r="D30" s="5">
        <v>90247.59</v>
      </c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965.84003526511674</v>
      </c>
      <c r="F30" s="14">
        <f t="shared" si="0"/>
        <v>47.413328297092903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>
        <v>30732</v>
      </c>
      <c r="D31" s="5">
        <v>90260.99</v>
      </c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964.61503382052149</v>
      </c>
      <c r="F31" s="14">
        <f t="shared" si="0"/>
        <v>46.188326852497653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>
        <v>30732</v>
      </c>
      <c r="D32" s="5">
        <v>90260.99</v>
      </c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964.61503382052149</v>
      </c>
      <c r="F32" s="14">
        <f t="shared" si="0"/>
        <v>46.188326852497653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>
        <v>30719</v>
      </c>
      <c r="D33" s="5">
        <v>90295.82</v>
      </c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961.43163294147428</v>
      </c>
      <c r="F33" s="14">
        <f t="shared" si="0"/>
        <v>43.00492597345044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>
        <v>30708</v>
      </c>
      <c r="D34" s="5">
        <v>90325.3</v>
      </c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958.73798952513471</v>
      </c>
      <c r="F34" s="14">
        <f>IF(D34&lt;&gt;0,E34-$E$3,0)</f>
        <v>40.311282557110871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>
        <v>30702</v>
      </c>
      <c r="D35" s="5">
        <v>90341.37</v>
      </c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957.26994297892418</v>
      </c>
      <c r="F35" s="14">
        <f t="shared" ref="F35:F98" si="1">IF(D35&lt;&gt;0,E35-$E$3,0)</f>
        <v>38.843236010900341</v>
      </c>
      <c r="J35" s="34"/>
      <c r="K35" s="34"/>
    </row>
    <row r="36" spans="1:60" x14ac:dyDescent="0.25">
      <c r="A36" s="10">
        <v>5.3760000000000003</v>
      </c>
      <c r="B36" s="10"/>
      <c r="C36" s="30">
        <v>30705</v>
      </c>
      <c r="D36" s="5">
        <v>90333.33</v>
      </c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958.0043965843156</v>
      </c>
      <c r="F36" s="14">
        <f t="shared" si="1"/>
        <v>39.577689616291764</v>
      </c>
      <c r="J36" s="34"/>
      <c r="K36" s="34"/>
    </row>
    <row r="37" spans="1:60" x14ac:dyDescent="0.25">
      <c r="A37" s="10">
        <v>5.5679999999999996</v>
      </c>
      <c r="B37" s="10"/>
      <c r="C37" s="30">
        <v>30692</v>
      </c>
      <c r="D37" s="5">
        <v>90368.16</v>
      </c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954.82305973075302</v>
      </c>
      <c r="F37" s="14">
        <f t="shared" si="1"/>
        <v>36.39635276272918</v>
      </c>
      <c r="J37" s="34"/>
      <c r="K37" s="34"/>
    </row>
    <row r="38" spans="1:60" x14ac:dyDescent="0.25">
      <c r="A38" s="10">
        <v>5.76</v>
      </c>
      <c r="B38" s="10"/>
      <c r="C38" s="30">
        <v>30685</v>
      </c>
      <c r="D38" s="5">
        <v>90386.91</v>
      </c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953.11086484926091</v>
      </c>
      <c r="F38" s="14">
        <f t="shared" si="1"/>
        <v>34.68415788123707</v>
      </c>
      <c r="J38" s="34"/>
      <c r="K38" s="34"/>
    </row>
    <row r="39" spans="1:60" x14ac:dyDescent="0.25">
      <c r="A39" s="10">
        <v>5.952</v>
      </c>
      <c r="B39" s="10"/>
      <c r="C39" s="30">
        <v>30651</v>
      </c>
      <c r="D39" s="5">
        <v>90478.02</v>
      </c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944.79505933182907</v>
      </c>
      <c r="F39" s="14">
        <f t="shared" si="1"/>
        <v>26.368352363805229</v>
      </c>
      <c r="J39" s="34"/>
      <c r="K39" s="34"/>
    </row>
    <row r="40" spans="1:60" x14ac:dyDescent="0.25">
      <c r="A40" s="10">
        <v>6.1440000000000001</v>
      </c>
      <c r="B40" s="10"/>
      <c r="C40" s="30">
        <v>30669</v>
      </c>
      <c r="D40" s="5">
        <v>90429.78</v>
      </c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949.19718273412707</v>
      </c>
      <c r="F40" s="14">
        <f t="shared" si="1"/>
        <v>30.770475766103232</v>
      </c>
      <c r="J40" s="34"/>
      <c r="K40" s="34"/>
    </row>
    <row r="41" spans="1:60" x14ac:dyDescent="0.25">
      <c r="A41" s="10">
        <v>6.3360000000000003</v>
      </c>
      <c r="B41" s="10"/>
      <c r="C41" s="30">
        <v>30641</v>
      </c>
      <c r="D41" s="5">
        <v>90504.81</v>
      </c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942.35116849842996</v>
      </c>
      <c r="F41" s="14">
        <f t="shared" si="1"/>
        <v>23.92446153040612</v>
      </c>
      <c r="J41" s="34"/>
      <c r="K41" s="34"/>
    </row>
    <row r="42" spans="1:60" x14ac:dyDescent="0.25">
      <c r="A42" s="10">
        <v>6.5279999999999996</v>
      </c>
      <c r="B42" s="10"/>
      <c r="C42" s="30">
        <v>30643</v>
      </c>
      <c r="D42" s="5">
        <v>90499.45</v>
      </c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942.84008223399962</v>
      </c>
      <c r="F42" s="14">
        <f t="shared" si="1"/>
        <v>24.413375265975787</v>
      </c>
      <c r="J42" s="34"/>
      <c r="K42" s="34"/>
    </row>
    <row r="43" spans="1:60" x14ac:dyDescent="0.25">
      <c r="A43" s="10">
        <v>6.72</v>
      </c>
      <c r="B43" s="10"/>
      <c r="C43" s="30">
        <v>30642</v>
      </c>
      <c r="D43" s="5">
        <v>90502.13</v>
      </c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942.59562243537448</v>
      </c>
      <c r="F43" s="14">
        <f t="shared" si="1"/>
        <v>24.168915467350644</v>
      </c>
      <c r="J43" s="34"/>
      <c r="K43" s="34"/>
    </row>
    <row r="44" spans="1:60" x14ac:dyDescent="0.25">
      <c r="A44" s="10">
        <v>6.9119999999999999</v>
      </c>
      <c r="B44" s="10"/>
      <c r="C44" s="30">
        <v>30624</v>
      </c>
      <c r="D44" s="5">
        <v>90550.36</v>
      </c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938.19725986212597</v>
      </c>
      <c r="F44" s="14">
        <f t="shared" si="1"/>
        <v>19.770552894102138</v>
      </c>
      <c r="J44" s="34"/>
      <c r="K44" s="34"/>
    </row>
    <row r="45" spans="1:60" x14ac:dyDescent="0.25">
      <c r="A45" s="10">
        <v>7.1040000000000001</v>
      </c>
      <c r="B45" s="10"/>
      <c r="C45" s="30">
        <v>30620</v>
      </c>
      <c r="D45" s="5">
        <v>90561.08</v>
      </c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937.21990098618505</v>
      </c>
      <c r="F45" s="14">
        <f t="shared" si="1"/>
        <v>18.793194018161216</v>
      </c>
      <c r="J45" s="34"/>
      <c r="K45" s="34"/>
    </row>
    <row r="46" spans="1:60" x14ac:dyDescent="0.25">
      <c r="A46" s="10">
        <v>7.2959999999999896</v>
      </c>
      <c r="B46" s="10"/>
      <c r="C46" s="30">
        <v>30601</v>
      </c>
      <c r="D46" s="5">
        <v>90611.98</v>
      </c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932.58054776546453</v>
      </c>
      <c r="F46" s="14">
        <f t="shared" si="1"/>
        <v>14.153840797440694</v>
      </c>
      <c r="J46" s="34"/>
      <c r="K46" s="34"/>
    </row>
    <row r="47" spans="1:60" x14ac:dyDescent="0.25">
      <c r="A47" s="10">
        <v>7.4879999999999898</v>
      </c>
      <c r="B47" s="10"/>
      <c r="C47" s="30">
        <v>30597</v>
      </c>
      <c r="D47" s="5">
        <v>90622.7</v>
      </c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931.60372708049181</v>
      </c>
      <c r="F47" s="14">
        <f t="shared" si="1"/>
        <v>13.177020112467972</v>
      </c>
      <c r="J47" s="34"/>
      <c r="K47" s="34"/>
    </row>
    <row r="48" spans="1:60" x14ac:dyDescent="0.25">
      <c r="A48" s="10">
        <v>7.6799999999999899</v>
      </c>
      <c r="B48" s="10"/>
      <c r="C48" s="30">
        <v>30601</v>
      </c>
      <c r="D48" s="5">
        <v>90611.98</v>
      </c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932.58054776546453</v>
      </c>
      <c r="F48" s="14">
        <f t="shared" si="1"/>
        <v>14.153840797440694</v>
      </c>
      <c r="J48" s="34"/>
      <c r="K48" s="34"/>
    </row>
    <row r="49" spans="1:11" x14ac:dyDescent="0.25">
      <c r="A49" s="10">
        <v>7.8719999999999901</v>
      </c>
      <c r="B49" s="10"/>
      <c r="C49" s="30">
        <v>30579</v>
      </c>
      <c r="D49" s="5">
        <v>90670.94</v>
      </c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927.20919152866497</v>
      </c>
      <c r="F49" s="14">
        <f t="shared" si="1"/>
        <v>8.7824845606411373</v>
      </c>
      <c r="J49" s="34"/>
      <c r="K49" s="34"/>
    </row>
    <row r="50" spans="1:11" x14ac:dyDescent="0.25">
      <c r="A50" s="10">
        <v>8.0639999999999894</v>
      </c>
      <c r="B50" s="10"/>
      <c r="C50" s="30">
        <v>30551</v>
      </c>
      <c r="D50" s="5">
        <v>90745.97</v>
      </c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920.37791904661265</v>
      </c>
      <c r="F50" s="14">
        <f t="shared" si="1"/>
        <v>1.9512120785888101</v>
      </c>
      <c r="J50" s="34"/>
      <c r="K50" s="34"/>
    </row>
    <row r="51" spans="1:11" x14ac:dyDescent="0.25">
      <c r="A51" s="10">
        <v>8.2559999999999896</v>
      </c>
      <c r="B51" s="10"/>
      <c r="C51" s="30">
        <v>30553</v>
      </c>
      <c r="D51" s="5">
        <v>90740.61</v>
      </c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920.86578039208644</v>
      </c>
      <c r="F51" s="14">
        <f t="shared" si="1"/>
        <v>2.4390734240625989</v>
      </c>
      <c r="J51" s="34"/>
      <c r="K51" s="34"/>
    </row>
    <row r="52" spans="1:11" x14ac:dyDescent="0.25">
      <c r="A52" s="10">
        <v>8.4479999999999897</v>
      </c>
      <c r="B52" s="10"/>
      <c r="C52" s="30">
        <v>30551</v>
      </c>
      <c r="D52" s="5">
        <v>90745.97</v>
      </c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920.37791904661265</v>
      </c>
      <c r="F52" s="14">
        <f t="shared" si="1"/>
        <v>1.9512120785888101</v>
      </c>
      <c r="J52" s="34"/>
      <c r="K52" s="34"/>
    </row>
    <row r="53" spans="1:11" x14ac:dyDescent="0.25">
      <c r="A53" s="10">
        <v>8.6399999999999899</v>
      </c>
      <c r="B53" s="10"/>
      <c r="C53" s="30">
        <v>30551</v>
      </c>
      <c r="D53" s="5">
        <v>90745.97</v>
      </c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920.37791904661265</v>
      </c>
      <c r="F53" s="14">
        <f t="shared" si="1"/>
        <v>1.9512120785888101</v>
      </c>
      <c r="J53" s="34"/>
      <c r="K53" s="34"/>
    </row>
    <row r="54" spans="1:11" x14ac:dyDescent="0.25">
      <c r="A54" s="10">
        <v>8.8319999999999901</v>
      </c>
      <c r="B54" s="10"/>
      <c r="C54" s="30">
        <v>30547</v>
      </c>
      <c r="D54" s="5">
        <v>90756.69</v>
      </c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919.40226635164311</v>
      </c>
      <c r="F54" s="14">
        <f t="shared" si="1"/>
        <v>0.97555938361927019</v>
      </c>
      <c r="J54" s="34"/>
      <c r="K54" s="34"/>
    </row>
    <row r="55" spans="1:11" x14ac:dyDescent="0.25">
      <c r="A55" s="10">
        <v>9.0239999999999903</v>
      </c>
      <c r="B55" s="10"/>
      <c r="C55" s="30">
        <v>30548</v>
      </c>
      <c r="D55" s="5">
        <v>90754</v>
      </c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919.64708087872759</v>
      </c>
      <c r="F55" s="14">
        <f t="shared" si="1"/>
        <v>1.2203739107037563</v>
      </c>
      <c r="J55" s="34"/>
      <c r="K55" s="34"/>
    </row>
    <row r="56" spans="1:11" x14ac:dyDescent="0.25">
      <c r="A56" s="10">
        <v>9.2159999999999904</v>
      </c>
      <c r="B56" s="10"/>
      <c r="C56" s="30">
        <v>30545</v>
      </c>
      <c r="D56" s="5">
        <v>90762.05</v>
      </c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918.91447499716173</v>
      </c>
      <c r="F56" s="14">
        <f t="shared" si="1"/>
        <v>0.48776802913789652</v>
      </c>
      <c r="J56" s="34"/>
      <c r="K56" s="34"/>
    </row>
    <row r="57" spans="1:11" x14ac:dyDescent="0.25">
      <c r="A57" s="10">
        <v>9.4079999999999906</v>
      </c>
      <c r="B57" s="10"/>
      <c r="C57" s="30">
        <v>30543</v>
      </c>
      <c r="D57" s="5">
        <v>90767.41</v>
      </c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918.42670696802384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>
        <v>30544</v>
      </c>
      <c r="D58" s="5">
        <v>90764.72</v>
      </c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918.67149808209945</v>
      </c>
      <c r="F58" s="14">
        <f t="shared" si="1"/>
        <v>0.24479111407561049</v>
      </c>
      <c r="J58" s="34"/>
      <c r="K58" s="34"/>
    </row>
    <row r="59" spans="1:11" x14ac:dyDescent="0.25">
      <c r="A59" s="10">
        <v>9.7919999999999892</v>
      </c>
      <c r="B59" s="10"/>
      <c r="C59" s="30">
        <v>30533</v>
      </c>
      <c r="D59" s="5">
        <v>90794.2</v>
      </c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915.98912639103162</v>
      </c>
      <c r="F59" s="14">
        <f t="shared" si="1"/>
        <v>-2.4375805769922181</v>
      </c>
      <c r="J59" s="34"/>
      <c r="K59" s="34"/>
    </row>
    <row r="60" spans="1:11" x14ac:dyDescent="0.25">
      <c r="A60" s="10">
        <v>9.9839999999999893</v>
      </c>
      <c r="B60" s="10"/>
      <c r="C60" s="30">
        <v>30526</v>
      </c>
      <c r="D60" s="5">
        <v>90812.96</v>
      </c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914.2825297525718</v>
      </c>
      <c r="F60" s="14">
        <f t="shared" si="1"/>
        <v>-4.1441772154520322</v>
      </c>
      <c r="J60" s="34"/>
      <c r="K60" s="34"/>
    </row>
    <row r="61" spans="1:11" x14ac:dyDescent="0.25">
      <c r="A61" s="10">
        <v>10.176</v>
      </c>
      <c r="B61" s="10"/>
      <c r="C61" s="30">
        <v>30521</v>
      </c>
      <c r="D61" s="5">
        <v>90826.36</v>
      </c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913.06370692254109</v>
      </c>
      <c r="F61" s="14">
        <f t="shared" si="1"/>
        <v>-5.3630000454827496</v>
      </c>
      <c r="J61" s="34"/>
      <c r="K61" s="34"/>
    </row>
    <row r="62" spans="1:11" x14ac:dyDescent="0.25">
      <c r="A62" s="10">
        <v>10.368</v>
      </c>
      <c r="B62" s="10"/>
      <c r="C62" s="30">
        <v>30520</v>
      </c>
      <c r="D62" s="5">
        <v>90829.04</v>
      </c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912.81995982937576</v>
      </c>
      <c r="F62" s="14">
        <f t="shared" si="1"/>
        <v>-5.6067471386480747</v>
      </c>
      <c r="J62" s="34"/>
      <c r="K62" s="34"/>
    </row>
    <row r="63" spans="1:11" x14ac:dyDescent="0.25">
      <c r="A63" s="10">
        <v>10.56</v>
      </c>
      <c r="B63" s="10"/>
      <c r="C63" s="30">
        <v>30523</v>
      </c>
      <c r="D63" s="5">
        <v>90821</v>
      </c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913.55121858077837</v>
      </c>
      <c r="F63" s="14">
        <f t="shared" si="1"/>
        <v>-4.8754883872454684</v>
      </c>
      <c r="J63" s="34"/>
      <c r="K63" s="34"/>
    </row>
    <row r="64" spans="1:11" x14ac:dyDescent="0.25">
      <c r="A64" s="10">
        <v>10.752000000000001</v>
      </c>
      <c r="B64" s="10"/>
      <c r="C64" s="30">
        <v>30519</v>
      </c>
      <c r="D64" s="5">
        <v>90831.72</v>
      </c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912.57621855976765</v>
      </c>
      <c r="F64" s="14">
        <f t="shared" si="1"/>
        <v>-5.850488408256183</v>
      </c>
      <c r="J64" s="34"/>
      <c r="K64" s="34"/>
    </row>
    <row r="65" spans="1:11" x14ac:dyDescent="0.25">
      <c r="A65" s="10">
        <v>10.944000000000001</v>
      </c>
      <c r="B65" s="10"/>
      <c r="C65" s="30">
        <v>30520</v>
      </c>
      <c r="D65" s="5">
        <v>90829.04</v>
      </c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912.81995982937576</v>
      </c>
      <c r="F65" s="14">
        <f t="shared" si="1"/>
        <v>-5.6067471386480747</v>
      </c>
      <c r="J65" s="34"/>
      <c r="K65" s="34"/>
    </row>
    <row r="66" spans="1:11" x14ac:dyDescent="0.25">
      <c r="A66" s="10">
        <v>11.135999999999999</v>
      </c>
      <c r="B66" s="10"/>
      <c r="C66" s="30">
        <v>30519</v>
      </c>
      <c r="D66" s="5">
        <v>90831.72</v>
      </c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912.57621855976765</v>
      </c>
      <c r="F66" s="14">
        <f t="shared" si="1"/>
        <v>-5.850488408256183</v>
      </c>
      <c r="J66" s="34"/>
      <c r="K66" s="34"/>
    </row>
    <row r="67" spans="1:11" x14ac:dyDescent="0.25">
      <c r="A67" s="10">
        <v>11.327999999999999</v>
      </c>
      <c r="B67" s="10"/>
      <c r="C67" s="30">
        <v>30521</v>
      </c>
      <c r="D67" s="5">
        <v>90826.36</v>
      </c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913.06370692254109</v>
      </c>
      <c r="F67" s="14">
        <f t="shared" si="1"/>
        <v>-5.3630000454827496</v>
      </c>
      <c r="J67" s="34"/>
      <c r="K67" s="34"/>
    </row>
    <row r="68" spans="1:11" x14ac:dyDescent="0.25">
      <c r="A68" s="10">
        <v>11.52</v>
      </c>
      <c r="B68" s="10"/>
      <c r="C68" s="30">
        <v>30519</v>
      </c>
      <c r="D68" s="5">
        <v>90831.72</v>
      </c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912.57621855976765</v>
      </c>
      <c r="F68" s="14">
        <f t="shared" si="1"/>
        <v>-5.850488408256183</v>
      </c>
      <c r="J68" s="34"/>
      <c r="K68" s="34"/>
    </row>
    <row r="69" spans="1:11" x14ac:dyDescent="0.25">
      <c r="A69" s="10">
        <v>11.712</v>
      </c>
      <c r="B69" s="10"/>
      <c r="C69" s="30">
        <v>30519</v>
      </c>
      <c r="D69" s="5">
        <v>90831.72</v>
      </c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912.57621855976765</v>
      </c>
      <c r="F69" s="14">
        <f t="shared" si="1"/>
        <v>-5.850488408256183</v>
      </c>
      <c r="J69" s="34"/>
      <c r="K69" s="34"/>
    </row>
    <row r="70" spans="1:11" x14ac:dyDescent="0.25">
      <c r="A70" s="10">
        <v>11.904</v>
      </c>
      <c r="B70" s="10"/>
      <c r="C70" s="30">
        <v>30520</v>
      </c>
      <c r="D70" s="5">
        <v>90829.04</v>
      </c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912.81995982937576</v>
      </c>
      <c r="F70" s="14">
        <f t="shared" si="1"/>
        <v>-5.6067471386480747</v>
      </c>
      <c r="J70" s="34"/>
      <c r="K70" s="34"/>
    </row>
    <row r="71" spans="1:11" x14ac:dyDescent="0.25">
      <c r="A71" s="10">
        <v>12.096</v>
      </c>
      <c r="B71" s="10"/>
      <c r="C71" s="30">
        <v>30521</v>
      </c>
      <c r="D71" s="5">
        <v>90826.36</v>
      </c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913.06370692254109</v>
      </c>
      <c r="F71" s="14">
        <f t="shared" si="1"/>
        <v>-5.3630000454827496</v>
      </c>
      <c r="J71" s="34"/>
      <c r="K71" s="34"/>
    </row>
    <row r="72" spans="1:11" x14ac:dyDescent="0.25">
      <c r="A72" s="10">
        <v>12.288</v>
      </c>
      <c r="B72" s="10"/>
      <c r="C72" s="30">
        <v>30519</v>
      </c>
      <c r="D72" s="5">
        <v>90831.72</v>
      </c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912.57621855976765</v>
      </c>
      <c r="F72" s="14">
        <f t="shared" si="1"/>
        <v>-5.850488408256183</v>
      </c>
      <c r="J72" s="34"/>
      <c r="K72" s="34"/>
    </row>
    <row r="73" spans="1:11" x14ac:dyDescent="0.25">
      <c r="A73" s="10">
        <v>12.48</v>
      </c>
      <c r="B73" s="10"/>
      <c r="C73" s="30">
        <v>30517</v>
      </c>
      <c r="D73" s="5">
        <v>90837.08</v>
      </c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912.08875348996764</v>
      </c>
      <c r="F73" s="14">
        <f t="shared" si="1"/>
        <v>-6.3379534780561926</v>
      </c>
      <c r="J73" s="34"/>
      <c r="K73" s="34"/>
    </row>
    <row r="74" spans="1:11" x14ac:dyDescent="0.25">
      <c r="A74" s="10">
        <v>12.672000000000001</v>
      </c>
      <c r="B74" s="10"/>
      <c r="C74" s="30">
        <v>30520</v>
      </c>
      <c r="D74" s="5">
        <v>90829.04</v>
      </c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912.81995982937576</v>
      </c>
      <c r="F74" s="14">
        <f t="shared" si="1"/>
        <v>-5.6067471386480747</v>
      </c>
      <c r="J74" s="34"/>
      <c r="K74" s="34"/>
    </row>
    <row r="75" spans="1:11" x14ac:dyDescent="0.25">
      <c r="A75" s="10">
        <v>12.864000000000001</v>
      </c>
      <c r="B75" s="10"/>
      <c r="C75" s="30">
        <v>30517</v>
      </c>
      <c r="D75" s="5">
        <v>90837.08</v>
      </c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912.08875348996764</v>
      </c>
      <c r="F75" s="14">
        <f t="shared" si="1"/>
        <v>-6.3379534780561926</v>
      </c>
      <c r="J75" s="34"/>
      <c r="K75" s="34"/>
    </row>
    <row r="76" spans="1:11" x14ac:dyDescent="0.25">
      <c r="A76" s="10">
        <v>13.055999999999999</v>
      </c>
      <c r="B76" s="10"/>
      <c r="C76" s="30">
        <v>30520</v>
      </c>
      <c r="D76" s="5">
        <v>90829.04</v>
      </c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912.81995982937576</v>
      </c>
      <c r="F76" s="14">
        <f t="shared" si="1"/>
        <v>-5.6067471386480747</v>
      </c>
      <c r="J76" s="34"/>
      <c r="K76" s="34"/>
    </row>
    <row r="77" spans="1:11" x14ac:dyDescent="0.25">
      <c r="A77" s="10">
        <v>13.247999999999999</v>
      </c>
      <c r="B77" s="10"/>
      <c r="C77" s="30">
        <v>30521</v>
      </c>
      <c r="D77" s="5">
        <v>90826.36</v>
      </c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913.06370692254109</v>
      </c>
      <c r="F77" s="14">
        <f t="shared" si="1"/>
        <v>-5.3630000454827496</v>
      </c>
      <c r="J77" s="34"/>
      <c r="K77" s="34"/>
    </row>
    <row r="78" spans="1:11" x14ac:dyDescent="0.25">
      <c r="A78" s="10">
        <v>13.44</v>
      </c>
      <c r="B78" s="10"/>
      <c r="C78" s="30">
        <v>30517</v>
      </c>
      <c r="D78" s="5">
        <v>90837.08</v>
      </c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912.08875348996764</v>
      </c>
      <c r="F78" s="14">
        <f t="shared" si="1"/>
        <v>-6.3379534780561926</v>
      </c>
      <c r="J78" s="34"/>
      <c r="K78" s="34"/>
    </row>
    <row r="79" spans="1:11" x14ac:dyDescent="0.25">
      <c r="A79" s="10">
        <v>13.632</v>
      </c>
      <c r="B79" s="10"/>
      <c r="C79" s="30">
        <v>30520</v>
      </c>
      <c r="D79" s="5">
        <v>90829.04</v>
      </c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912.81995982937576</v>
      </c>
      <c r="F79" s="14">
        <f t="shared" si="1"/>
        <v>-5.6067471386480747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1:B1"/>
    <mergeCell ref="A2:C2"/>
    <mergeCell ref="A3:C3"/>
    <mergeCell ref="A4:C4"/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6</xdr:col>
                <xdr:colOff>0</xdr:colOff>
                <xdr:row>5</xdr:row>
                <xdr:rowOff>342900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1420</vt:i4>
      </vt:variant>
    </vt:vector>
  </HeadingPairs>
  <TitlesOfParts>
    <vt:vector size="1431" baseType="lpstr">
      <vt:lpstr>Modelo Atmosférico</vt:lpstr>
      <vt:lpstr>Leitura Dados de Vôo</vt:lpstr>
      <vt:lpstr>Leitura Dados de Vôo (2)</vt:lpstr>
      <vt:lpstr>T77 - 1</vt:lpstr>
      <vt:lpstr>T77 - 2</vt:lpstr>
      <vt:lpstr>T78 - 1</vt:lpstr>
      <vt:lpstr>T78 - 2</vt:lpstr>
      <vt:lpstr>T79 - 1</vt:lpstr>
      <vt:lpstr>T79 - 2</vt:lpstr>
      <vt:lpstr>T80</vt:lpstr>
      <vt:lpstr>T81</vt:lpstr>
      <vt:lpstr>'Leitura Dados de Vôo'!P1_flight_data_raw</vt:lpstr>
      <vt:lpstr>'Leitura Dados de Vôo (2)'!P1_flight_data_raw</vt:lpstr>
      <vt:lpstr>'T77 - 1'!P1_flight_data_raw</vt:lpstr>
      <vt:lpstr>'T77 - 2'!P1_flight_data_raw</vt:lpstr>
      <vt:lpstr>'T78 - 1'!P1_flight_data_raw</vt:lpstr>
      <vt:lpstr>'T78 - 2'!P1_flight_data_raw</vt:lpstr>
      <vt:lpstr>'T79 - 1'!P1_flight_data_raw</vt:lpstr>
      <vt:lpstr>'T79 - 2'!P1_flight_data_raw</vt:lpstr>
      <vt:lpstr>'T80'!P1_flight_data_raw</vt:lpstr>
      <vt:lpstr>'T81'!P1_flight_data_raw</vt:lpstr>
      <vt:lpstr>'Leitura Dados de Vôo'!P1_flight_data_raw_1</vt:lpstr>
      <vt:lpstr>'Leitura Dados de Vôo (2)'!P1_flight_data_raw_1</vt:lpstr>
      <vt:lpstr>'T77 - 1'!P1_flight_data_raw_1</vt:lpstr>
      <vt:lpstr>'T77 - 2'!P1_flight_data_raw_1</vt:lpstr>
      <vt:lpstr>'T78 - 1'!P1_flight_data_raw_1</vt:lpstr>
      <vt:lpstr>'T78 - 2'!P1_flight_data_raw_1</vt:lpstr>
      <vt:lpstr>'T79 - 1'!P1_flight_data_raw_1</vt:lpstr>
      <vt:lpstr>'T79 - 2'!P1_flight_data_raw_1</vt:lpstr>
      <vt:lpstr>'T80'!P1_flight_data_raw_1</vt:lpstr>
      <vt:lpstr>'T81'!P1_flight_data_raw_1</vt:lpstr>
      <vt:lpstr>'Leitura Dados de Vôo'!P1_flight_data_raw_10</vt:lpstr>
      <vt:lpstr>'Leitura Dados de Vôo (2)'!P1_flight_data_raw_10</vt:lpstr>
      <vt:lpstr>'T77 - 1'!P1_flight_data_raw_10</vt:lpstr>
      <vt:lpstr>'T77 - 2'!P1_flight_data_raw_10</vt:lpstr>
      <vt:lpstr>'T78 - 1'!P1_flight_data_raw_10</vt:lpstr>
      <vt:lpstr>'T78 - 2'!P1_flight_data_raw_10</vt:lpstr>
      <vt:lpstr>'T79 - 1'!P1_flight_data_raw_10</vt:lpstr>
      <vt:lpstr>'T79 - 2'!P1_flight_data_raw_10</vt:lpstr>
      <vt:lpstr>'T80'!P1_flight_data_raw_10</vt:lpstr>
      <vt:lpstr>'T81'!P1_flight_data_raw_10</vt:lpstr>
      <vt:lpstr>'Leitura Dados de Vôo'!P1_flight_data_raw_11</vt:lpstr>
      <vt:lpstr>'Leitura Dados de Vôo (2)'!P1_flight_data_raw_11</vt:lpstr>
      <vt:lpstr>'T77 - 1'!P1_flight_data_raw_11</vt:lpstr>
      <vt:lpstr>'T77 - 2'!P1_flight_data_raw_11</vt:lpstr>
      <vt:lpstr>'T78 - 1'!P1_flight_data_raw_11</vt:lpstr>
      <vt:lpstr>'T78 - 2'!P1_flight_data_raw_11</vt:lpstr>
      <vt:lpstr>'T79 - 1'!P1_flight_data_raw_11</vt:lpstr>
      <vt:lpstr>'T79 - 2'!P1_flight_data_raw_11</vt:lpstr>
      <vt:lpstr>'T80'!P1_flight_data_raw_11</vt:lpstr>
      <vt:lpstr>'T81'!P1_flight_data_raw_11</vt:lpstr>
      <vt:lpstr>'Leitura Dados de Vôo'!P1_flight_data_raw_12</vt:lpstr>
      <vt:lpstr>'Leitura Dados de Vôo (2)'!P1_flight_data_raw_12</vt:lpstr>
      <vt:lpstr>'T77 - 1'!P1_flight_data_raw_12</vt:lpstr>
      <vt:lpstr>'T77 - 2'!P1_flight_data_raw_12</vt:lpstr>
      <vt:lpstr>'T78 - 1'!P1_flight_data_raw_12</vt:lpstr>
      <vt:lpstr>'T78 - 2'!P1_flight_data_raw_12</vt:lpstr>
      <vt:lpstr>'T79 - 1'!P1_flight_data_raw_12</vt:lpstr>
      <vt:lpstr>'T79 - 2'!P1_flight_data_raw_12</vt:lpstr>
      <vt:lpstr>'T80'!P1_flight_data_raw_12</vt:lpstr>
      <vt:lpstr>'T81'!P1_flight_data_raw_12</vt:lpstr>
      <vt:lpstr>'Leitura Dados de Vôo'!P1_flight_data_raw_13</vt:lpstr>
      <vt:lpstr>'Leitura Dados de Vôo (2)'!P1_flight_data_raw_13</vt:lpstr>
      <vt:lpstr>'T77 - 1'!P1_flight_data_raw_13</vt:lpstr>
      <vt:lpstr>'T77 - 2'!P1_flight_data_raw_13</vt:lpstr>
      <vt:lpstr>'T78 - 1'!P1_flight_data_raw_13</vt:lpstr>
      <vt:lpstr>'T78 - 2'!P1_flight_data_raw_13</vt:lpstr>
      <vt:lpstr>'T79 - 1'!P1_flight_data_raw_13</vt:lpstr>
      <vt:lpstr>'T79 - 2'!P1_flight_data_raw_13</vt:lpstr>
      <vt:lpstr>'T80'!P1_flight_data_raw_13</vt:lpstr>
      <vt:lpstr>'T81'!P1_flight_data_raw_13</vt:lpstr>
      <vt:lpstr>'Leitura Dados de Vôo'!P1_flight_data_raw_14</vt:lpstr>
      <vt:lpstr>'Leitura Dados de Vôo (2)'!P1_flight_data_raw_14</vt:lpstr>
      <vt:lpstr>'T77 - 1'!P1_flight_data_raw_14</vt:lpstr>
      <vt:lpstr>'T77 - 2'!P1_flight_data_raw_14</vt:lpstr>
      <vt:lpstr>'T78 - 1'!P1_flight_data_raw_14</vt:lpstr>
      <vt:lpstr>'T78 - 2'!P1_flight_data_raw_14</vt:lpstr>
      <vt:lpstr>'T79 - 1'!P1_flight_data_raw_14</vt:lpstr>
      <vt:lpstr>'T79 - 2'!P1_flight_data_raw_14</vt:lpstr>
      <vt:lpstr>'T80'!P1_flight_data_raw_14</vt:lpstr>
      <vt:lpstr>'T81'!P1_flight_data_raw_14</vt:lpstr>
      <vt:lpstr>'Leitura Dados de Vôo'!P1_flight_data_raw_15</vt:lpstr>
      <vt:lpstr>'Leitura Dados de Vôo (2)'!P1_flight_data_raw_15</vt:lpstr>
      <vt:lpstr>'T77 - 1'!P1_flight_data_raw_15</vt:lpstr>
      <vt:lpstr>'T77 - 2'!P1_flight_data_raw_15</vt:lpstr>
      <vt:lpstr>'T78 - 1'!P1_flight_data_raw_15</vt:lpstr>
      <vt:lpstr>'T78 - 2'!P1_flight_data_raw_15</vt:lpstr>
      <vt:lpstr>'T79 - 1'!P1_flight_data_raw_15</vt:lpstr>
      <vt:lpstr>'T79 - 2'!P1_flight_data_raw_15</vt:lpstr>
      <vt:lpstr>'T80'!P1_flight_data_raw_15</vt:lpstr>
      <vt:lpstr>'T81'!P1_flight_data_raw_15</vt:lpstr>
      <vt:lpstr>'Leitura Dados de Vôo'!P1_flight_data_raw_16</vt:lpstr>
      <vt:lpstr>'Leitura Dados de Vôo (2)'!P1_flight_data_raw_16</vt:lpstr>
      <vt:lpstr>'T77 - 1'!P1_flight_data_raw_16</vt:lpstr>
      <vt:lpstr>'T77 - 2'!P1_flight_data_raw_16</vt:lpstr>
      <vt:lpstr>'T78 - 1'!P1_flight_data_raw_16</vt:lpstr>
      <vt:lpstr>'T78 - 2'!P1_flight_data_raw_16</vt:lpstr>
      <vt:lpstr>'T79 - 1'!P1_flight_data_raw_16</vt:lpstr>
      <vt:lpstr>'T79 - 2'!P1_flight_data_raw_16</vt:lpstr>
      <vt:lpstr>'T80'!P1_flight_data_raw_16</vt:lpstr>
      <vt:lpstr>'T81'!P1_flight_data_raw_16</vt:lpstr>
      <vt:lpstr>'Leitura Dados de Vôo'!P1_flight_data_raw_17</vt:lpstr>
      <vt:lpstr>'Leitura Dados de Vôo (2)'!P1_flight_data_raw_17</vt:lpstr>
      <vt:lpstr>'T77 - 1'!P1_flight_data_raw_17</vt:lpstr>
      <vt:lpstr>'T77 - 2'!P1_flight_data_raw_17</vt:lpstr>
      <vt:lpstr>'T78 - 1'!P1_flight_data_raw_17</vt:lpstr>
      <vt:lpstr>'T78 - 2'!P1_flight_data_raw_17</vt:lpstr>
      <vt:lpstr>'T79 - 1'!P1_flight_data_raw_17</vt:lpstr>
      <vt:lpstr>'T79 - 2'!P1_flight_data_raw_17</vt:lpstr>
      <vt:lpstr>'T80'!P1_flight_data_raw_17</vt:lpstr>
      <vt:lpstr>'T81'!P1_flight_data_raw_17</vt:lpstr>
      <vt:lpstr>'Leitura Dados de Vôo'!P1_flight_data_raw_18</vt:lpstr>
      <vt:lpstr>'Leitura Dados de Vôo (2)'!P1_flight_data_raw_18</vt:lpstr>
      <vt:lpstr>'T77 - 1'!P1_flight_data_raw_18</vt:lpstr>
      <vt:lpstr>'T77 - 2'!P1_flight_data_raw_18</vt:lpstr>
      <vt:lpstr>'T78 - 1'!P1_flight_data_raw_18</vt:lpstr>
      <vt:lpstr>'T78 - 2'!P1_flight_data_raw_18</vt:lpstr>
      <vt:lpstr>'T79 - 1'!P1_flight_data_raw_18</vt:lpstr>
      <vt:lpstr>'T79 - 2'!P1_flight_data_raw_18</vt:lpstr>
      <vt:lpstr>'T80'!P1_flight_data_raw_18</vt:lpstr>
      <vt:lpstr>'T81'!P1_flight_data_raw_18</vt:lpstr>
      <vt:lpstr>'Leitura Dados de Vôo'!P1_flight_data_raw_19</vt:lpstr>
      <vt:lpstr>'Leitura Dados de Vôo (2)'!P1_flight_data_raw_19</vt:lpstr>
      <vt:lpstr>'T77 - 1'!P1_flight_data_raw_19</vt:lpstr>
      <vt:lpstr>'T77 - 2'!P1_flight_data_raw_19</vt:lpstr>
      <vt:lpstr>'T78 - 1'!P1_flight_data_raw_19</vt:lpstr>
      <vt:lpstr>'T78 - 2'!P1_flight_data_raw_19</vt:lpstr>
      <vt:lpstr>'T79 - 1'!P1_flight_data_raw_19</vt:lpstr>
      <vt:lpstr>'T79 - 2'!P1_flight_data_raw_19</vt:lpstr>
      <vt:lpstr>'T80'!P1_flight_data_raw_19</vt:lpstr>
      <vt:lpstr>'T81'!P1_flight_data_raw_19</vt:lpstr>
      <vt:lpstr>'Leitura Dados de Vôo'!P1_flight_data_raw_20</vt:lpstr>
      <vt:lpstr>'Leitura Dados de Vôo (2)'!P1_flight_data_raw_20</vt:lpstr>
      <vt:lpstr>'T77 - 1'!P1_flight_data_raw_20</vt:lpstr>
      <vt:lpstr>'T77 - 2'!P1_flight_data_raw_20</vt:lpstr>
      <vt:lpstr>'T78 - 1'!P1_flight_data_raw_20</vt:lpstr>
      <vt:lpstr>'T78 - 2'!P1_flight_data_raw_20</vt:lpstr>
      <vt:lpstr>'T79 - 1'!P1_flight_data_raw_20</vt:lpstr>
      <vt:lpstr>'T79 - 2'!P1_flight_data_raw_20</vt:lpstr>
      <vt:lpstr>'T80'!P1_flight_data_raw_20</vt:lpstr>
      <vt:lpstr>'T81'!P1_flight_data_raw_20</vt:lpstr>
      <vt:lpstr>'Leitura Dados de Vôo'!P1_flight_data_raw_21</vt:lpstr>
      <vt:lpstr>'Leitura Dados de Vôo (2)'!P1_flight_data_raw_21</vt:lpstr>
      <vt:lpstr>'T77 - 1'!P1_flight_data_raw_21</vt:lpstr>
      <vt:lpstr>'T77 - 2'!P1_flight_data_raw_21</vt:lpstr>
      <vt:lpstr>'T78 - 1'!P1_flight_data_raw_21</vt:lpstr>
      <vt:lpstr>'T78 - 2'!P1_flight_data_raw_21</vt:lpstr>
      <vt:lpstr>'T79 - 1'!P1_flight_data_raw_21</vt:lpstr>
      <vt:lpstr>'T79 - 2'!P1_flight_data_raw_21</vt:lpstr>
      <vt:lpstr>'T80'!P1_flight_data_raw_21</vt:lpstr>
      <vt:lpstr>'T81'!P1_flight_data_raw_21</vt:lpstr>
      <vt:lpstr>'Leitura Dados de Vôo'!P1_flight_data_raw_22</vt:lpstr>
      <vt:lpstr>'Leitura Dados de Vôo (2)'!P1_flight_data_raw_22</vt:lpstr>
      <vt:lpstr>'T77 - 1'!P1_flight_data_raw_22</vt:lpstr>
      <vt:lpstr>'T77 - 2'!P1_flight_data_raw_22</vt:lpstr>
      <vt:lpstr>'T78 - 1'!P1_flight_data_raw_22</vt:lpstr>
      <vt:lpstr>'T78 - 2'!P1_flight_data_raw_22</vt:lpstr>
      <vt:lpstr>'T79 - 1'!P1_flight_data_raw_22</vt:lpstr>
      <vt:lpstr>'T79 - 2'!P1_flight_data_raw_22</vt:lpstr>
      <vt:lpstr>'T80'!P1_flight_data_raw_22</vt:lpstr>
      <vt:lpstr>'T81'!P1_flight_data_raw_22</vt:lpstr>
      <vt:lpstr>'Leitura Dados de Vôo'!P1_flight_data_raw_23</vt:lpstr>
      <vt:lpstr>'Leitura Dados de Vôo (2)'!P1_flight_data_raw_23</vt:lpstr>
      <vt:lpstr>'T77 - 1'!P1_flight_data_raw_23</vt:lpstr>
      <vt:lpstr>'T77 - 2'!P1_flight_data_raw_23</vt:lpstr>
      <vt:lpstr>'T78 - 1'!P1_flight_data_raw_23</vt:lpstr>
      <vt:lpstr>'T78 - 2'!P1_flight_data_raw_23</vt:lpstr>
      <vt:lpstr>'T79 - 1'!P1_flight_data_raw_23</vt:lpstr>
      <vt:lpstr>'T79 - 2'!P1_flight_data_raw_23</vt:lpstr>
      <vt:lpstr>'T80'!P1_flight_data_raw_23</vt:lpstr>
      <vt:lpstr>'T81'!P1_flight_data_raw_23</vt:lpstr>
      <vt:lpstr>'Leitura Dados de Vôo'!P1_flight_data_raw_24</vt:lpstr>
      <vt:lpstr>'Leitura Dados de Vôo (2)'!P1_flight_data_raw_24</vt:lpstr>
      <vt:lpstr>'T77 - 1'!P1_flight_data_raw_24</vt:lpstr>
      <vt:lpstr>'T77 - 2'!P1_flight_data_raw_24</vt:lpstr>
      <vt:lpstr>'T78 - 1'!P1_flight_data_raw_24</vt:lpstr>
      <vt:lpstr>'T78 - 2'!P1_flight_data_raw_24</vt:lpstr>
      <vt:lpstr>'T79 - 1'!P1_flight_data_raw_24</vt:lpstr>
      <vt:lpstr>'T79 - 2'!P1_flight_data_raw_24</vt:lpstr>
      <vt:lpstr>'T80'!P1_flight_data_raw_24</vt:lpstr>
      <vt:lpstr>'T81'!P1_flight_data_raw_24</vt:lpstr>
      <vt:lpstr>'Leitura Dados de Vôo'!P1_flight_data_raw_25</vt:lpstr>
      <vt:lpstr>'Leitura Dados de Vôo (2)'!P1_flight_data_raw_25</vt:lpstr>
      <vt:lpstr>'T77 - 1'!P1_flight_data_raw_25</vt:lpstr>
      <vt:lpstr>'T77 - 2'!P1_flight_data_raw_25</vt:lpstr>
      <vt:lpstr>'T78 - 1'!P1_flight_data_raw_25</vt:lpstr>
      <vt:lpstr>'T78 - 2'!P1_flight_data_raw_25</vt:lpstr>
      <vt:lpstr>'T79 - 1'!P1_flight_data_raw_25</vt:lpstr>
      <vt:lpstr>'T79 - 2'!P1_flight_data_raw_25</vt:lpstr>
      <vt:lpstr>'T80'!P1_flight_data_raw_25</vt:lpstr>
      <vt:lpstr>'T81'!P1_flight_data_raw_25</vt:lpstr>
      <vt:lpstr>'Leitura Dados de Vôo'!P1_flight_data_raw_26</vt:lpstr>
      <vt:lpstr>'Leitura Dados de Vôo (2)'!P1_flight_data_raw_26</vt:lpstr>
      <vt:lpstr>'T77 - 1'!P1_flight_data_raw_26</vt:lpstr>
      <vt:lpstr>'T77 - 2'!P1_flight_data_raw_26</vt:lpstr>
      <vt:lpstr>'T78 - 1'!P1_flight_data_raw_26</vt:lpstr>
      <vt:lpstr>'T78 - 2'!P1_flight_data_raw_26</vt:lpstr>
      <vt:lpstr>'T79 - 1'!P1_flight_data_raw_26</vt:lpstr>
      <vt:lpstr>'T79 - 2'!P1_flight_data_raw_26</vt:lpstr>
      <vt:lpstr>'T80'!P1_flight_data_raw_26</vt:lpstr>
      <vt:lpstr>'T81'!P1_flight_data_raw_26</vt:lpstr>
      <vt:lpstr>'Leitura Dados de Vôo'!P1_flight_data_raw_27</vt:lpstr>
      <vt:lpstr>'Leitura Dados de Vôo (2)'!P1_flight_data_raw_27</vt:lpstr>
      <vt:lpstr>'T77 - 1'!P1_flight_data_raw_27</vt:lpstr>
      <vt:lpstr>'T77 - 2'!P1_flight_data_raw_27</vt:lpstr>
      <vt:lpstr>'T78 - 1'!P1_flight_data_raw_27</vt:lpstr>
      <vt:lpstr>'T78 - 2'!P1_flight_data_raw_27</vt:lpstr>
      <vt:lpstr>'T79 - 1'!P1_flight_data_raw_27</vt:lpstr>
      <vt:lpstr>'T79 - 2'!P1_flight_data_raw_27</vt:lpstr>
      <vt:lpstr>'T80'!P1_flight_data_raw_27</vt:lpstr>
      <vt:lpstr>'T81'!P1_flight_data_raw_27</vt:lpstr>
      <vt:lpstr>'Leitura Dados de Vôo'!P1_flight_data_raw_28</vt:lpstr>
      <vt:lpstr>'Leitura Dados de Vôo (2)'!P1_flight_data_raw_28</vt:lpstr>
      <vt:lpstr>'T77 - 1'!P1_flight_data_raw_28</vt:lpstr>
      <vt:lpstr>'T77 - 2'!P1_flight_data_raw_28</vt:lpstr>
      <vt:lpstr>'T78 - 1'!P1_flight_data_raw_28</vt:lpstr>
      <vt:lpstr>'T78 - 2'!P1_flight_data_raw_28</vt:lpstr>
      <vt:lpstr>'T79 - 1'!P1_flight_data_raw_28</vt:lpstr>
      <vt:lpstr>'T79 - 2'!P1_flight_data_raw_28</vt:lpstr>
      <vt:lpstr>'T80'!P1_flight_data_raw_28</vt:lpstr>
      <vt:lpstr>'T81'!P1_flight_data_raw_28</vt:lpstr>
      <vt:lpstr>'Leitura Dados de Vôo'!P1_flight_data_raw_29</vt:lpstr>
      <vt:lpstr>'Leitura Dados de Vôo (2)'!P1_flight_data_raw_29</vt:lpstr>
      <vt:lpstr>'T77 - 1'!P1_flight_data_raw_29</vt:lpstr>
      <vt:lpstr>'T77 - 2'!P1_flight_data_raw_29</vt:lpstr>
      <vt:lpstr>'T78 - 1'!P1_flight_data_raw_29</vt:lpstr>
      <vt:lpstr>'T78 - 2'!P1_flight_data_raw_29</vt:lpstr>
      <vt:lpstr>'T79 - 1'!P1_flight_data_raw_29</vt:lpstr>
      <vt:lpstr>'T79 - 2'!P1_flight_data_raw_29</vt:lpstr>
      <vt:lpstr>'T80'!P1_flight_data_raw_29</vt:lpstr>
      <vt:lpstr>'T81'!P1_flight_data_raw_29</vt:lpstr>
      <vt:lpstr>'Leitura Dados de Vôo'!P1_flight_data_raw_3</vt:lpstr>
      <vt:lpstr>'Leitura Dados de Vôo (2)'!P1_flight_data_raw_3</vt:lpstr>
      <vt:lpstr>'T77 - 1'!P1_flight_data_raw_3</vt:lpstr>
      <vt:lpstr>'T77 - 2'!P1_flight_data_raw_3</vt:lpstr>
      <vt:lpstr>'T78 - 1'!P1_flight_data_raw_3</vt:lpstr>
      <vt:lpstr>'T78 - 2'!P1_flight_data_raw_3</vt:lpstr>
      <vt:lpstr>'T79 - 1'!P1_flight_data_raw_3</vt:lpstr>
      <vt:lpstr>'T79 - 2'!P1_flight_data_raw_3</vt:lpstr>
      <vt:lpstr>'T80'!P1_flight_data_raw_3</vt:lpstr>
      <vt:lpstr>'T81'!P1_flight_data_raw_3</vt:lpstr>
      <vt:lpstr>'Leitura Dados de Vôo'!P1_flight_data_raw_30</vt:lpstr>
      <vt:lpstr>'Leitura Dados de Vôo (2)'!P1_flight_data_raw_30</vt:lpstr>
      <vt:lpstr>'T77 - 1'!P1_flight_data_raw_30</vt:lpstr>
      <vt:lpstr>'T77 - 2'!P1_flight_data_raw_30</vt:lpstr>
      <vt:lpstr>'T78 - 1'!P1_flight_data_raw_30</vt:lpstr>
      <vt:lpstr>'T78 - 2'!P1_flight_data_raw_30</vt:lpstr>
      <vt:lpstr>'T79 - 1'!P1_flight_data_raw_30</vt:lpstr>
      <vt:lpstr>'T79 - 2'!P1_flight_data_raw_30</vt:lpstr>
      <vt:lpstr>'T80'!P1_flight_data_raw_30</vt:lpstr>
      <vt:lpstr>'T81'!P1_flight_data_raw_30</vt:lpstr>
      <vt:lpstr>'Leitura Dados de Vôo'!P1_flight_data_raw_31</vt:lpstr>
      <vt:lpstr>'Leitura Dados de Vôo (2)'!P1_flight_data_raw_31</vt:lpstr>
      <vt:lpstr>'T77 - 1'!P1_flight_data_raw_31</vt:lpstr>
      <vt:lpstr>'T77 - 2'!P1_flight_data_raw_31</vt:lpstr>
      <vt:lpstr>'T78 - 1'!P1_flight_data_raw_31</vt:lpstr>
      <vt:lpstr>'T78 - 2'!P1_flight_data_raw_31</vt:lpstr>
      <vt:lpstr>'T79 - 1'!P1_flight_data_raw_31</vt:lpstr>
      <vt:lpstr>'T79 - 2'!P1_flight_data_raw_31</vt:lpstr>
      <vt:lpstr>'T80'!P1_flight_data_raw_31</vt:lpstr>
      <vt:lpstr>'T81'!P1_flight_data_raw_31</vt:lpstr>
      <vt:lpstr>'Leitura Dados de Vôo'!P1_flight_data_raw_32</vt:lpstr>
      <vt:lpstr>'Leitura Dados de Vôo (2)'!P1_flight_data_raw_32</vt:lpstr>
      <vt:lpstr>'T77 - 1'!P1_flight_data_raw_32</vt:lpstr>
      <vt:lpstr>'T77 - 2'!P1_flight_data_raw_32</vt:lpstr>
      <vt:lpstr>'T78 - 1'!P1_flight_data_raw_32</vt:lpstr>
      <vt:lpstr>'T78 - 2'!P1_flight_data_raw_32</vt:lpstr>
      <vt:lpstr>'T79 - 1'!P1_flight_data_raw_32</vt:lpstr>
      <vt:lpstr>'T79 - 2'!P1_flight_data_raw_32</vt:lpstr>
      <vt:lpstr>'T80'!P1_flight_data_raw_32</vt:lpstr>
      <vt:lpstr>'T81'!P1_flight_data_raw_32</vt:lpstr>
      <vt:lpstr>'Leitura Dados de Vôo'!P1_flight_data_raw_33</vt:lpstr>
      <vt:lpstr>'Leitura Dados de Vôo (2)'!P1_flight_data_raw_33</vt:lpstr>
      <vt:lpstr>'T77 - 1'!P1_flight_data_raw_33</vt:lpstr>
      <vt:lpstr>'T77 - 2'!P1_flight_data_raw_33</vt:lpstr>
      <vt:lpstr>'T78 - 1'!P1_flight_data_raw_33</vt:lpstr>
      <vt:lpstr>'T78 - 2'!P1_flight_data_raw_33</vt:lpstr>
      <vt:lpstr>'T79 - 1'!P1_flight_data_raw_33</vt:lpstr>
      <vt:lpstr>'T79 - 2'!P1_flight_data_raw_33</vt:lpstr>
      <vt:lpstr>'T80'!P1_flight_data_raw_33</vt:lpstr>
      <vt:lpstr>'T81'!P1_flight_data_raw_33</vt:lpstr>
      <vt:lpstr>'Leitura Dados de Vôo'!P1_flight_data_raw_34</vt:lpstr>
      <vt:lpstr>'Leitura Dados de Vôo (2)'!P1_flight_data_raw_34</vt:lpstr>
      <vt:lpstr>'T77 - 1'!P1_flight_data_raw_34</vt:lpstr>
      <vt:lpstr>'T77 - 2'!P1_flight_data_raw_34</vt:lpstr>
      <vt:lpstr>'T78 - 1'!P1_flight_data_raw_34</vt:lpstr>
      <vt:lpstr>'T78 - 2'!P1_flight_data_raw_34</vt:lpstr>
      <vt:lpstr>'T79 - 1'!P1_flight_data_raw_34</vt:lpstr>
      <vt:lpstr>'T79 - 2'!P1_flight_data_raw_34</vt:lpstr>
      <vt:lpstr>'T80'!P1_flight_data_raw_34</vt:lpstr>
      <vt:lpstr>'T81'!P1_flight_data_raw_34</vt:lpstr>
      <vt:lpstr>'Leitura Dados de Vôo'!P1_flight_data_raw_35</vt:lpstr>
      <vt:lpstr>'Leitura Dados de Vôo (2)'!P1_flight_data_raw_35</vt:lpstr>
      <vt:lpstr>'T77 - 1'!P1_flight_data_raw_35</vt:lpstr>
      <vt:lpstr>'T77 - 2'!P1_flight_data_raw_35</vt:lpstr>
      <vt:lpstr>'T78 - 1'!P1_flight_data_raw_35</vt:lpstr>
      <vt:lpstr>'T78 - 2'!P1_flight_data_raw_35</vt:lpstr>
      <vt:lpstr>'T79 - 1'!P1_flight_data_raw_35</vt:lpstr>
      <vt:lpstr>'T79 - 2'!P1_flight_data_raw_35</vt:lpstr>
      <vt:lpstr>'T80'!P1_flight_data_raw_35</vt:lpstr>
      <vt:lpstr>'T81'!P1_flight_data_raw_35</vt:lpstr>
      <vt:lpstr>'Leitura Dados de Vôo'!P1_flight_data_raw_36</vt:lpstr>
      <vt:lpstr>'Leitura Dados de Vôo (2)'!P1_flight_data_raw_36</vt:lpstr>
      <vt:lpstr>'T77 - 1'!P1_flight_data_raw_36</vt:lpstr>
      <vt:lpstr>'T77 - 2'!P1_flight_data_raw_36</vt:lpstr>
      <vt:lpstr>'T78 - 1'!P1_flight_data_raw_36</vt:lpstr>
      <vt:lpstr>'T78 - 2'!P1_flight_data_raw_36</vt:lpstr>
      <vt:lpstr>'T79 - 1'!P1_flight_data_raw_36</vt:lpstr>
      <vt:lpstr>'T79 - 2'!P1_flight_data_raw_36</vt:lpstr>
      <vt:lpstr>'T80'!P1_flight_data_raw_36</vt:lpstr>
      <vt:lpstr>'T81'!P1_flight_data_raw_36</vt:lpstr>
      <vt:lpstr>'Leitura Dados de Vôo'!P1_flight_data_raw_37</vt:lpstr>
      <vt:lpstr>'Leitura Dados de Vôo (2)'!P1_flight_data_raw_37</vt:lpstr>
      <vt:lpstr>'T77 - 1'!P1_flight_data_raw_37</vt:lpstr>
      <vt:lpstr>'T77 - 2'!P1_flight_data_raw_37</vt:lpstr>
      <vt:lpstr>'T78 - 1'!P1_flight_data_raw_37</vt:lpstr>
      <vt:lpstr>'T78 - 2'!P1_flight_data_raw_37</vt:lpstr>
      <vt:lpstr>'T79 - 1'!P1_flight_data_raw_37</vt:lpstr>
      <vt:lpstr>'T79 - 2'!P1_flight_data_raw_37</vt:lpstr>
      <vt:lpstr>'T80'!P1_flight_data_raw_37</vt:lpstr>
      <vt:lpstr>'T81'!P1_flight_data_raw_37</vt:lpstr>
      <vt:lpstr>'Leitura Dados de Vôo'!P1_flight_data_raw_38</vt:lpstr>
      <vt:lpstr>'Leitura Dados de Vôo (2)'!P1_flight_data_raw_38</vt:lpstr>
      <vt:lpstr>'T77 - 1'!P1_flight_data_raw_38</vt:lpstr>
      <vt:lpstr>'T77 - 2'!P1_flight_data_raw_38</vt:lpstr>
      <vt:lpstr>'T78 - 1'!P1_flight_data_raw_38</vt:lpstr>
      <vt:lpstr>'T78 - 2'!P1_flight_data_raw_38</vt:lpstr>
      <vt:lpstr>'T79 - 1'!P1_flight_data_raw_38</vt:lpstr>
      <vt:lpstr>'T79 - 2'!P1_flight_data_raw_38</vt:lpstr>
      <vt:lpstr>'T80'!P1_flight_data_raw_38</vt:lpstr>
      <vt:lpstr>'T81'!P1_flight_data_raw_38</vt:lpstr>
      <vt:lpstr>'Leitura Dados de Vôo'!P1_flight_data_raw_39</vt:lpstr>
      <vt:lpstr>'Leitura Dados de Vôo (2)'!P1_flight_data_raw_39</vt:lpstr>
      <vt:lpstr>'T77 - 1'!P1_flight_data_raw_39</vt:lpstr>
      <vt:lpstr>'T77 - 2'!P1_flight_data_raw_39</vt:lpstr>
      <vt:lpstr>'T78 - 1'!P1_flight_data_raw_39</vt:lpstr>
      <vt:lpstr>'T78 - 2'!P1_flight_data_raw_39</vt:lpstr>
      <vt:lpstr>'T79 - 1'!P1_flight_data_raw_39</vt:lpstr>
      <vt:lpstr>'T79 - 2'!P1_flight_data_raw_39</vt:lpstr>
      <vt:lpstr>'T80'!P1_flight_data_raw_39</vt:lpstr>
      <vt:lpstr>'T81'!P1_flight_data_raw_39</vt:lpstr>
      <vt:lpstr>'Leitura Dados de Vôo'!P1_flight_data_raw_4</vt:lpstr>
      <vt:lpstr>'Leitura Dados de Vôo (2)'!P1_flight_data_raw_4</vt:lpstr>
      <vt:lpstr>'T77 - 1'!P1_flight_data_raw_4</vt:lpstr>
      <vt:lpstr>'T77 - 2'!P1_flight_data_raw_4</vt:lpstr>
      <vt:lpstr>'T78 - 1'!P1_flight_data_raw_4</vt:lpstr>
      <vt:lpstr>'T78 - 2'!P1_flight_data_raw_4</vt:lpstr>
      <vt:lpstr>'T79 - 1'!P1_flight_data_raw_4</vt:lpstr>
      <vt:lpstr>'T79 - 2'!P1_flight_data_raw_4</vt:lpstr>
      <vt:lpstr>'T80'!P1_flight_data_raw_4</vt:lpstr>
      <vt:lpstr>'T81'!P1_flight_data_raw_4</vt:lpstr>
      <vt:lpstr>'Leitura Dados de Vôo'!P1_flight_data_raw_40</vt:lpstr>
      <vt:lpstr>'Leitura Dados de Vôo (2)'!P1_flight_data_raw_40</vt:lpstr>
      <vt:lpstr>'T77 - 1'!P1_flight_data_raw_40</vt:lpstr>
      <vt:lpstr>'T77 - 2'!P1_flight_data_raw_40</vt:lpstr>
      <vt:lpstr>'T78 - 1'!P1_flight_data_raw_40</vt:lpstr>
      <vt:lpstr>'T78 - 2'!P1_flight_data_raw_40</vt:lpstr>
      <vt:lpstr>'T79 - 1'!P1_flight_data_raw_40</vt:lpstr>
      <vt:lpstr>'T79 - 2'!P1_flight_data_raw_40</vt:lpstr>
      <vt:lpstr>'T80'!P1_flight_data_raw_40</vt:lpstr>
      <vt:lpstr>'T81'!P1_flight_data_raw_40</vt:lpstr>
      <vt:lpstr>'Leitura Dados de Vôo'!P1_flight_data_raw_41</vt:lpstr>
      <vt:lpstr>'Leitura Dados de Vôo (2)'!P1_flight_data_raw_41</vt:lpstr>
      <vt:lpstr>'T77 - 1'!P1_flight_data_raw_41</vt:lpstr>
      <vt:lpstr>'T77 - 2'!P1_flight_data_raw_41</vt:lpstr>
      <vt:lpstr>'T78 - 1'!P1_flight_data_raw_41</vt:lpstr>
      <vt:lpstr>'T78 - 2'!P1_flight_data_raw_41</vt:lpstr>
      <vt:lpstr>'T79 - 1'!P1_flight_data_raw_41</vt:lpstr>
      <vt:lpstr>'T79 - 2'!P1_flight_data_raw_41</vt:lpstr>
      <vt:lpstr>'T80'!P1_flight_data_raw_41</vt:lpstr>
      <vt:lpstr>'T81'!P1_flight_data_raw_41</vt:lpstr>
      <vt:lpstr>'Leitura Dados de Vôo'!P1_flight_data_raw_42</vt:lpstr>
      <vt:lpstr>'Leitura Dados de Vôo (2)'!P1_flight_data_raw_42</vt:lpstr>
      <vt:lpstr>'T77 - 1'!P1_flight_data_raw_42</vt:lpstr>
      <vt:lpstr>'T77 - 2'!P1_flight_data_raw_42</vt:lpstr>
      <vt:lpstr>'T78 - 1'!P1_flight_data_raw_42</vt:lpstr>
      <vt:lpstr>'T78 - 2'!P1_flight_data_raw_42</vt:lpstr>
      <vt:lpstr>'T79 - 1'!P1_flight_data_raw_42</vt:lpstr>
      <vt:lpstr>'T79 - 2'!P1_flight_data_raw_42</vt:lpstr>
      <vt:lpstr>'T80'!P1_flight_data_raw_42</vt:lpstr>
      <vt:lpstr>'T81'!P1_flight_data_raw_42</vt:lpstr>
      <vt:lpstr>'Leitura Dados de Vôo'!P1_flight_data_raw_43</vt:lpstr>
      <vt:lpstr>'Leitura Dados de Vôo (2)'!P1_flight_data_raw_43</vt:lpstr>
      <vt:lpstr>'T77 - 1'!P1_flight_data_raw_43</vt:lpstr>
      <vt:lpstr>'T77 - 2'!P1_flight_data_raw_43</vt:lpstr>
      <vt:lpstr>'T78 - 1'!P1_flight_data_raw_43</vt:lpstr>
      <vt:lpstr>'T78 - 2'!P1_flight_data_raw_43</vt:lpstr>
      <vt:lpstr>'T79 - 1'!P1_flight_data_raw_43</vt:lpstr>
      <vt:lpstr>'T79 - 2'!P1_flight_data_raw_43</vt:lpstr>
      <vt:lpstr>'T80'!P1_flight_data_raw_43</vt:lpstr>
      <vt:lpstr>'T81'!P1_flight_data_raw_43</vt:lpstr>
      <vt:lpstr>'Leitura Dados de Vôo'!P1_flight_data_raw_44</vt:lpstr>
      <vt:lpstr>'Leitura Dados de Vôo (2)'!P1_flight_data_raw_44</vt:lpstr>
      <vt:lpstr>'T77 - 1'!P1_flight_data_raw_44</vt:lpstr>
      <vt:lpstr>'T77 - 2'!P1_flight_data_raw_44</vt:lpstr>
      <vt:lpstr>'T78 - 1'!P1_flight_data_raw_44</vt:lpstr>
      <vt:lpstr>'T78 - 2'!P1_flight_data_raw_44</vt:lpstr>
      <vt:lpstr>'T79 - 1'!P1_flight_data_raw_44</vt:lpstr>
      <vt:lpstr>'T79 - 2'!P1_flight_data_raw_44</vt:lpstr>
      <vt:lpstr>'T80'!P1_flight_data_raw_44</vt:lpstr>
      <vt:lpstr>'T81'!P1_flight_data_raw_44</vt:lpstr>
      <vt:lpstr>'Leitura Dados de Vôo'!P1_flight_data_raw_45</vt:lpstr>
      <vt:lpstr>'Leitura Dados de Vôo (2)'!P1_flight_data_raw_45</vt:lpstr>
      <vt:lpstr>'T77 - 1'!P1_flight_data_raw_45</vt:lpstr>
      <vt:lpstr>'T77 - 2'!P1_flight_data_raw_45</vt:lpstr>
      <vt:lpstr>'T78 - 1'!P1_flight_data_raw_45</vt:lpstr>
      <vt:lpstr>'T78 - 2'!P1_flight_data_raw_45</vt:lpstr>
      <vt:lpstr>'T79 - 1'!P1_flight_data_raw_45</vt:lpstr>
      <vt:lpstr>'T79 - 2'!P1_flight_data_raw_45</vt:lpstr>
      <vt:lpstr>'T80'!P1_flight_data_raw_45</vt:lpstr>
      <vt:lpstr>'T81'!P1_flight_data_raw_45</vt:lpstr>
      <vt:lpstr>'Leitura Dados de Vôo'!P1_flight_data_raw_46</vt:lpstr>
      <vt:lpstr>'Leitura Dados de Vôo (2)'!P1_flight_data_raw_46</vt:lpstr>
      <vt:lpstr>'T77 - 1'!P1_flight_data_raw_46</vt:lpstr>
      <vt:lpstr>'T77 - 2'!P1_flight_data_raw_46</vt:lpstr>
      <vt:lpstr>'T78 - 1'!P1_flight_data_raw_46</vt:lpstr>
      <vt:lpstr>'T78 - 2'!P1_flight_data_raw_46</vt:lpstr>
      <vt:lpstr>'T79 - 1'!P1_flight_data_raw_46</vt:lpstr>
      <vt:lpstr>'T79 - 2'!P1_flight_data_raw_46</vt:lpstr>
      <vt:lpstr>'T80'!P1_flight_data_raw_46</vt:lpstr>
      <vt:lpstr>'T81'!P1_flight_data_raw_46</vt:lpstr>
      <vt:lpstr>'Leitura Dados de Vôo'!P1_flight_data_raw_47</vt:lpstr>
      <vt:lpstr>'Leitura Dados de Vôo (2)'!P1_flight_data_raw_47</vt:lpstr>
      <vt:lpstr>'T77 - 1'!P1_flight_data_raw_47</vt:lpstr>
      <vt:lpstr>'T77 - 2'!P1_flight_data_raw_47</vt:lpstr>
      <vt:lpstr>'T78 - 1'!P1_flight_data_raw_47</vt:lpstr>
      <vt:lpstr>'T78 - 2'!P1_flight_data_raw_47</vt:lpstr>
      <vt:lpstr>'T79 - 1'!P1_flight_data_raw_47</vt:lpstr>
      <vt:lpstr>'T79 - 2'!P1_flight_data_raw_47</vt:lpstr>
      <vt:lpstr>'T80'!P1_flight_data_raw_47</vt:lpstr>
      <vt:lpstr>'T81'!P1_flight_data_raw_47</vt:lpstr>
      <vt:lpstr>'Leitura Dados de Vôo'!P1_flight_data_raw_48</vt:lpstr>
      <vt:lpstr>'Leitura Dados de Vôo (2)'!P1_flight_data_raw_48</vt:lpstr>
      <vt:lpstr>'T77 - 1'!P1_flight_data_raw_48</vt:lpstr>
      <vt:lpstr>'T77 - 2'!P1_flight_data_raw_48</vt:lpstr>
      <vt:lpstr>'T78 - 1'!P1_flight_data_raw_48</vt:lpstr>
      <vt:lpstr>'T78 - 2'!P1_flight_data_raw_48</vt:lpstr>
      <vt:lpstr>'T79 - 1'!P1_flight_data_raw_48</vt:lpstr>
      <vt:lpstr>'T79 - 2'!P1_flight_data_raw_48</vt:lpstr>
      <vt:lpstr>'T80'!P1_flight_data_raw_48</vt:lpstr>
      <vt:lpstr>'T81'!P1_flight_data_raw_48</vt:lpstr>
      <vt:lpstr>'Leitura Dados de Vôo'!P1_flight_data_raw_49</vt:lpstr>
      <vt:lpstr>'Leitura Dados de Vôo (2)'!P1_flight_data_raw_49</vt:lpstr>
      <vt:lpstr>'T77 - 1'!P1_flight_data_raw_49</vt:lpstr>
      <vt:lpstr>'T77 - 2'!P1_flight_data_raw_49</vt:lpstr>
      <vt:lpstr>'T78 - 1'!P1_flight_data_raw_49</vt:lpstr>
      <vt:lpstr>'T78 - 2'!P1_flight_data_raw_49</vt:lpstr>
      <vt:lpstr>'T79 - 1'!P1_flight_data_raw_49</vt:lpstr>
      <vt:lpstr>'T79 - 2'!P1_flight_data_raw_49</vt:lpstr>
      <vt:lpstr>'T80'!P1_flight_data_raw_49</vt:lpstr>
      <vt:lpstr>'T81'!P1_flight_data_raw_49</vt:lpstr>
      <vt:lpstr>'Leitura Dados de Vôo'!P1_flight_data_raw_5</vt:lpstr>
      <vt:lpstr>'Leitura Dados de Vôo (2)'!P1_flight_data_raw_5</vt:lpstr>
      <vt:lpstr>'T77 - 1'!P1_flight_data_raw_5</vt:lpstr>
      <vt:lpstr>'T77 - 2'!P1_flight_data_raw_5</vt:lpstr>
      <vt:lpstr>'T78 - 1'!P1_flight_data_raw_5</vt:lpstr>
      <vt:lpstr>'T78 - 2'!P1_flight_data_raw_5</vt:lpstr>
      <vt:lpstr>'T79 - 1'!P1_flight_data_raw_5</vt:lpstr>
      <vt:lpstr>'T79 - 2'!P1_flight_data_raw_5</vt:lpstr>
      <vt:lpstr>'T80'!P1_flight_data_raw_5</vt:lpstr>
      <vt:lpstr>'T81'!P1_flight_data_raw_5</vt:lpstr>
      <vt:lpstr>'Leitura Dados de Vôo'!P1_flight_data_raw_50</vt:lpstr>
      <vt:lpstr>'Leitura Dados de Vôo (2)'!P1_flight_data_raw_50</vt:lpstr>
      <vt:lpstr>'T77 - 1'!P1_flight_data_raw_50</vt:lpstr>
      <vt:lpstr>'T77 - 2'!P1_flight_data_raw_50</vt:lpstr>
      <vt:lpstr>'T78 - 1'!P1_flight_data_raw_50</vt:lpstr>
      <vt:lpstr>'T78 - 2'!P1_flight_data_raw_50</vt:lpstr>
      <vt:lpstr>'T79 - 1'!P1_flight_data_raw_50</vt:lpstr>
      <vt:lpstr>'T79 - 2'!P1_flight_data_raw_50</vt:lpstr>
      <vt:lpstr>'T80'!P1_flight_data_raw_50</vt:lpstr>
      <vt:lpstr>'T81'!P1_flight_data_raw_50</vt:lpstr>
      <vt:lpstr>'Leitura Dados de Vôo'!P1_flight_data_raw_51</vt:lpstr>
      <vt:lpstr>'Leitura Dados de Vôo (2)'!P1_flight_data_raw_51</vt:lpstr>
      <vt:lpstr>'T77 - 1'!P1_flight_data_raw_51</vt:lpstr>
      <vt:lpstr>'T77 - 2'!P1_flight_data_raw_51</vt:lpstr>
      <vt:lpstr>'T78 - 1'!P1_flight_data_raw_51</vt:lpstr>
      <vt:lpstr>'T78 - 2'!P1_flight_data_raw_51</vt:lpstr>
      <vt:lpstr>'T79 - 1'!P1_flight_data_raw_51</vt:lpstr>
      <vt:lpstr>'T79 - 2'!P1_flight_data_raw_51</vt:lpstr>
      <vt:lpstr>'T80'!P1_flight_data_raw_51</vt:lpstr>
      <vt:lpstr>'T81'!P1_flight_data_raw_51</vt:lpstr>
      <vt:lpstr>'Leitura Dados de Vôo'!P1_flight_data_raw_52</vt:lpstr>
      <vt:lpstr>'Leitura Dados de Vôo (2)'!P1_flight_data_raw_52</vt:lpstr>
      <vt:lpstr>'T77 - 1'!P1_flight_data_raw_52</vt:lpstr>
      <vt:lpstr>'T77 - 2'!P1_flight_data_raw_52</vt:lpstr>
      <vt:lpstr>'T78 - 1'!P1_flight_data_raw_52</vt:lpstr>
      <vt:lpstr>'T78 - 2'!P1_flight_data_raw_52</vt:lpstr>
      <vt:lpstr>'T79 - 1'!P1_flight_data_raw_52</vt:lpstr>
      <vt:lpstr>'T79 - 2'!P1_flight_data_raw_52</vt:lpstr>
      <vt:lpstr>'T80'!P1_flight_data_raw_52</vt:lpstr>
      <vt:lpstr>'T81'!P1_flight_data_raw_52</vt:lpstr>
      <vt:lpstr>'Leitura Dados de Vôo'!P1_flight_data_raw_53</vt:lpstr>
      <vt:lpstr>'Leitura Dados de Vôo (2)'!P1_flight_data_raw_53</vt:lpstr>
      <vt:lpstr>'T77 - 1'!P1_flight_data_raw_53</vt:lpstr>
      <vt:lpstr>'T77 - 2'!P1_flight_data_raw_53</vt:lpstr>
      <vt:lpstr>'T78 - 1'!P1_flight_data_raw_53</vt:lpstr>
      <vt:lpstr>'T78 - 2'!P1_flight_data_raw_53</vt:lpstr>
      <vt:lpstr>'T79 - 1'!P1_flight_data_raw_53</vt:lpstr>
      <vt:lpstr>'T79 - 2'!P1_flight_data_raw_53</vt:lpstr>
      <vt:lpstr>'T80'!P1_flight_data_raw_53</vt:lpstr>
      <vt:lpstr>'T81'!P1_flight_data_raw_53</vt:lpstr>
      <vt:lpstr>'Leitura Dados de Vôo'!P1_flight_data_raw_54</vt:lpstr>
      <vt:lpstr>'Leitura Dados de Vôo (2)'!P1_flight_data_raw_54</vt:lpstr>
      <vt:lpstr>'T77 - 1'!P1_flight_data_raw_54</vt:lpstr>
      <vt:lpstr>'T77 - 2'!P1_flight_data_raw_54</vt:lpstr>
      <vt:lpstr>'T78 - 1'!P1_flight_data_raw_54</vt:lpstr>
      <vt:lpstr>'T78 - 2'!P1_flight_data_raw_54</vt:lpstr>
      <vt:lpstr>'T79 - 1'!P1_flight_data_raw_54</vt:lpstr>
      <vt:lpstr>'T79 - 2'!P1_flight_data_raw_54</vt:lpstr>
      <vt:lpstr>'T80'!P1_flight_data_raw_54</vt:lpstr>
      <vt:lpstr>'T81'!P1_flight_data_raw_54</vt:lpstr>
      <vt:lpstr>'Leitura Dados de Vôo'!P1_flight_data_raw_55</vt:lpstr>
      <vt:lpstr>'Leitura Dados de Vôo (2)'!P1_flight_data_raw_55</vt:lpstr>
      <vt:lpstr>'T77 - 1'!P1_flight_data_raw_55</vt:lpstr>
      <vt:lpstr>'T77 - 2'!P1_flight_data_raw_55</vt:lpstr>
      <vt:lpstr>'T78 - 1'!P1_flight_data_raw_55</vt:lpstr>
      <vt:lpstr>'T78 - 2'!P1_flight_data_raw_55</vt:lpstr>
      <vt:lpstr>'T79 - 1'!P1_flight_data_raw_55</vt:lpstr>
      <vt:lpstr>'T79 - 2'!P1_flight_data_raw_55</vt:lpstr>
      <vt:lpstr>'T80'!P1_flight_data_raw_55</vt:lpstr>
      <vt:lpstr>'T81'!P1_flight_data_raw_55</vt:lpstr>
      <vt:lpstr>'Leitura Dados de Vôo'!P1_flight_data_raw_56</vt:lpstr>
      <vt:lpstr>'Leitura Dados de Vôo (2)'!P1_flight_data_raw_56</vt:lpstr>
      <vt:lpstr>'T77 - 1'!P1_flight_data_raw_56</vt:lpstr>
      <vt:lpstr>'T77 - 2'!P1_flight_data_raw_56</vt:lpstr>
      <vt:lpstr>'T78 - 1'!P1_flight_data_raw_56</vt:lpstr>
      <vt:lpstr>'T78 - 2'!P1_flight_data_raw_56</vt:lpstr>
      <vt:lpstr>'T79 - 1'!P1_flight_data_raw_56</vt:lpstr>
      <vt:lpstr>'T79 - 2'!P1_flight_data_raw_56</vt:lpstr>
      <vt:lpstr>'T80'!P1_flight_data_raw_56</vt:lpstr>
      <vt:lpstr>'T81'!P1_flight_data_raw_56</vt:lpstr>
      <vt:lpstr>'Leitura Dados de Vôo'!P1_flight_data_raw_57</vt:lpstr>
      <vt:lpstr>'Leitura Dados de Vôo (2)'!P1_flight_data_raw_57</vt:lpstr>
      <vt:lpstr>'T77 - 1'!P1_flight_data_raw_57</vt:lpstr>
      <vt:lpstr>'T77 - 2'!P1_flight_data_raw_57</vt:lpstr>
      <vt:lpstr>'T78 - 1'!P1_flight_data_raw_57</vt:lpstr>
      <vt:lpstr>'T78 - 2'!P1_flight_data_raw_57</vt:lpstr>
      <vt:lpstr>'T79 - 1'!P1_flight_data_raw_57</vt:lpstr>
      <vt:lpstr>'T79 - 2'!P1_flight_data_raw_57</vt:lpstr>
      <vt:lpstr>'T80'!P1_flight_data_raw_57</vt:lpstr>
      <vt:lpstr>'T81'!P1_flight_data_raw_57</vt:lpstr>
      <vt:lpstr>'Leitura Dados de Vôo'!P1_flight_data_raw_58</vt:lpstr>
      <vt:lpstr>'Leitura Dados de Vôo (2)'!P1_flight_data_raw_58</vt:lpstr>
      <vt:lpstr>'T77 - 1'!P1_flight_data_raw_58</vt:lpstr>
      <vt:lpstr>'T77 - 2'!P1_flight_data_raw_58</vt:lpstr>
      <vt:lpstr>'T78 - 1'!P1_flight_data_raw_58</vt:lpstr>
      <vt:lpstr>'T78 - 2'!P1_flight_data_raw_58</vt:lpstr>
      <vt:lpstr>'T79 - 1'!P1_flight_data_raw_58</vt:lpstr>
      <vt:lpstr>'T79 - 2'!P1_flight_data_raw_58</vt:lpstr>
      <vt:lpstr>'T80'!P1_flight_data_raw_58</vt:lpstr>
      <vt:lpstr>'T81'!P1_flight_data_raw_58</vt:lpstr>
      <vt:lpstr>'Leitura Dados de Vôo'!P1_flight_data_raw_59</vt:lpstr>
      <vt:lpstr>'Leitura Dados de Vôo (2)'!P1_flight_data_raw_59</vt:lpstr>
      <vt:lpstr>'T77 - 1'!P1_flight_data_raw_59</vt:lpstr>
      <vt:lpstr>'T77 - 2'!P1_flight_data_raw_59</vt:lpstr>
      <vt:lpstr>'T78 - 1'!P1_flight_data_raw_59</vt:lpstr>
      <vt:lpstr>'T78 - 2'!P1_flight_data_raw_59</vt:lpstr>
      <vt:lpstr>'T79 - 1'!P1_flight_data_raw_59</vt:lpstr>
      <vt:lpstr>'T79 - 2'!P1_flight_data_raw_59</vt:lpstr>
      <vt:lpstr>'T80'!P1_flight_data_raw_59</vt:lpstr>
      <vt:lpstr>'T81'!P1_flight_data_raw_59</vt:lpstr>
      <vt:lpstr>'Leitura Dados de Vôo'!P1_flight_data_raw_6</vt:lpstr>
      <vt:lpstr>'Leitura Dados de Vôo (2)'!P1_flight_data_raw_6</vt:lpstr>
      <vt:lpstr>'T77 - 1'!P1_flight_data_raw_6</vt:lpstr>
      <vt:lpstr>'T77 - 2'!P1_flight_data_raw_6</vt:lpstr>
      <vt:lpstr>'T78 - 1'!P1_flight_data_raw_6</vt:lpstr>
      <vt:lpstr>'T78 - 2'!P1_flight_data_raw_6</vt:lpstr>
      <vt:lpstr>'T79 - 1'!P1_flight_data_raw_6</vt:lpstr>
      <vt:lpstr>'T79 - 2'!P1_flight_data_raw_6</vt:lpstr>
      <vt:lpstr>'T80'!P1_flight_data_raw_6</vt:lpstr>
      <vt:lpstr>'T81'!P1_flight_data_raw_6</vt:lpstr>
      <vt:lpstr>'Leitura Dados de Vôo'!P1_flight_data_raw_60</vt:lpstr>
      <vt:lpstr>'T77 - 1'!P1_flight_data_raw_60</vt:lpstr>
      <vt:lpstr>'T77 - 2'!P1_flight_data_raw_60</vt:lpstr>
      <vt:lpstr>'T78 - 1'!P1_flight_data_raw_60</vt:lpstr>
      <vt:lpstr>'T78 - 2'!P1_flight_data_raw_60</vt:lpstr>
      <vt:lpstr>'T79 - 1'!P1_flight_data_raw_60</vt:lpstr>
      <vt:lpstr>'T79 - 2'!P1_flight_data_raw_60</vt:lpstr>
      <vt:lpstr>'T80'!P1_flight_data_raw_60</vt:lpstr>
      <vt:lpstr>'T81'!P1_flight_data_raw_60</vt:lpstr>
      <vt:lpstr>'Leitura Dados de Vôo'!P1_flight_data_raw_61</vt:lpstr>
      <vt:lpstr>'T77 - 1'!P1_flight_data_raw_61</vt:lpstr>
      <vt:lpstr>'T77 - 2'!P1_flight_data_raw_61</vt:lpstr>
      <vt:lpstr>'T78 - 1'!P1_flight_data_raw_61</vt:lpstr>
      <vt:lpstr>'T78 - 2'!P1_flight_data_raw_61</vt:lpstr>
      <vt:lpstr>'T79 - 1'!P1_flight_data_raw_61</vt:lpstr>
      <vt:lpstr>'T79 - 2'!P1_flight_data_raw_61</vt:lpstr>
      <vt:lpstr>'T80'!P1_flight_data_raw_61</vt:lpstr>
      <vt:lpstr>'T81'!P1_flight_data_raw_61</vt:lpstr>
      <vt:lpstr>'Leitura Dados de Vôo'!P1_flight_data_raw_62</vt:lpstr>
      <vt:lpstr>'T77 - 1'!P1_flight_data_raw_62</vt:lpstr>
      <vt:lpstr>'T77 - 2'!P1_flight_data_raw_62</vt:lpstr>
      <vt:lpstr>'T78 - 1'!P1_flight_data_raw_62</vt:lpstr>
      <vt:lpstr>'T78 - 2'!P1_flight_data_raw_62</vt:lpstr>
      <vt:lpstr>'T79 - 1'!P1_flight_data_raw_62</vt:lpstr>
      <vt:lpstr>'T79 - 2'!P1_flight_data_raw_62</vt:lpstr>
      <vt:lpstr>'T80'!P1_flight_data_raw_62</vt:lpstr>
      <vt:lpstr>'T81'!P1_flight_data_raw_62</vt:lpstr>
      <vt:lpstr>'Leitura Dados de Vôo'!P1_flight_data_raw_63</vt:lpstr>
      <vt:lpstr>'T77 - 1'!P1_flight_data_raw_63</vt:lpstr>
      <vt:lpstr>'T77 - 2'!P1_flight_data_raw_63</vt:lpstr>
      <vt:lpstr>'T78 - 1'!P1_flight_data_raw_63</vt:lpstr>
      <vt:lpstr>'T78 - 2'!P1_flight_data_raw_63</vt:lpstr>
      <vt:lpstr>'T79 - 1'!P1_flight_data_raw_63</vt:lpstr>
      <vt:lpstr>'T79 - 2'!P1_flight_data_raw_63</vt:lpstr>
      <vt:lpstr>'T80'!P1_flight_data_raw_63</vt:lpstr>
      <vt:lpstr>'T81'!P1_flight_data_raw_63</vt:lpstr>
      <vt:lpstr>'Leitura Dados de Vôo'!P1_flight_data_raw_64</vt:lpstr>
      <vt:lpstr>'T77 - 1'!P1_flight_data_raw_64</vt:lpstr>
      <vt:lpstr>'T77 - 2'!P1_flight_data_raw_64</vt:lpstr>
      <vt:lpstr>'T78 - 1'!P1_flight_data_raw_64</vt:lpstr>
      <vt:lpstr>'T78 - 2'!P1_flight_data_raw_64</vt:lpstr>
      <vt:lpstr>'T79 - 1'!P1_flight_data_raw_64</vt:lpstr>
      <vt:lpstr>'T79 - 2'!P1_flight_data_raw_64</vt:lpstr>
      <vt:lpstr>'T80'!P1_flight_data_raw_64</vt:lpstr>
      <vt:lpstr>'T81'!P1_flight_data_raw_64</vt:lpstr>
      <vt:lpstr>'Leitura Dados de Vôo'!P1_flight_data_raw_65</vt:lpstr>
      <vt:lpstr>'T77 - 2'!P1_flight_data_raw_65</vt:lpstr>
      <vt:lpstr>'T78 - 1'!P1_flight_data_raw_65</vt:lpstr>
      <vt:lpstr>'T78 - 2'!P1_flight_data_raw_65</vt:lpstr>
      <vt:lpstr>'T79 - 1'!P1_flight_data_raw_65</vt:lpstr>
      <vt:lpstr>'T79 - 2'!P1_flight_data_raw_65</vt:lpstr>
      <vt:lpstr>'T80'!P1_flight_data_raw_65</vt:lpstr>
      <vt:lpstr>'T81'!P1_flight_data_raw_65</vt:lpstr>
      <vt:lpstr>'Leitura Dados de Vôo'!P1_flight_data_raw_66</vt:lpstr>
      <vt:lpstr>'T78 - 1'!P1_flight_data_raw_66</vt:lpstr>
      <vt:lpstr>'T78 - 2'!P1_flight_data_raw_66</vt:lpstr>
      <vt:lpstr>'T79 - 1'!P1_flight_data_raw_66</vt:lpstr>
      <vt:lpstr>'T79 - 2'!P1_flight_data_raw_66</vt:lpstr>
      <vt:lpstr>'T80'!P1_flight_data_raw_66</vt:lpstr>
      <vt:lpstr>'T81'!P1_flight_data_raw_66</vt:lpstr>
      <vt:lpstr>'Leitura Dados de Vôo'!P1_flight_data_raw_67</vt:lpstr>
      <vt:lpstr>'T78 - 2'!P1_flight_data_raw_67</vt:lpstr>
      <vt:lpstr>'T79 - 1'!P1_flight_data_raw_67</vt:lpstr>
      <vt:lpstr>'T79 - 2'!P1_flight_data_raw_67</vt:lpstr>
      <vt:lpstr>'T80'!P1_flight_data_raw_67</vt:lpstr>
      <vt:lpstr>'T81'!P1_flight_data_raw_67</vt:lpstr>
      <vt:lpstr>'Leitura Dados de Vôo'!P1_flight_data_raw_68</vt:lpstr>
      <vt:lpstr>'T79 - 1'!P1_flight_data_raw_68</vt:lpstr>
      <vt:lpstr>'T79 - 2'!P1_flight_data_raw_68</vt:lpstr>
      <vt:lpstr>'T80'!P1_flight_data_raw_68</vt:lpstr>
      <vt:lpstr>'T81'!P1_flight_data_raw_68</vt:lpstr>
      <vt:lpstr>'Leitura Dados de Vôo'!P1_flight_data_raw_69</vt:lpstr>
      <vt:lpstr>'T80'!P1_flight_data_raw_69</vt:lpstr>
      <vt:lpstr>'T81'!P1_flight_data_raw_69</vt:lpstr>
      <vt:lpstr>'Leitura Dados de Vôo'!P1_flight_data_raw_7</vt:lpstr>
      <vt:lpstr>'Leitura Dados de Vôo (2)'!P1_flight_data_raw_7</vt:lpstr>
      <vt:lpstr>'T77 - 1'!P1_flight_data_raw_7</vt:lpstr>
      <vt:lpstr>'T77 - 2'!P1_flight_data_raw_7</vt:lpstr>
      <vt:lpstr>'T78 - 1'!P1_flight_data_raw_7</vt:lpstr>
      <vt:lpstr>'T78 - 2'!P1_flight_data_raw_7</vt:lpstr>
      <vt:lpstr>'T79 - 1'!P1_flight_data_raw_7</vt:lpstr>
      <vt:lpstr>'T79 - 2'!P1_flight_data_raw_7</vt:lpstr>
      <vt:lpstr>'T80'!P1_flight_data_raw_7</vt:lpstr>
      <vt:lpstr>'T81'!P1_flight_data_raw_7</vt:lpstr>
      <vt:lpstr>'T81'!P1_flight_data_raw_70</vt:lpstr>
      <vt:lpstr>'Leitura Dados de Vôo'!P1_flight_data_raw_8</vt:lpstr>
      <vt:lpstr>'Leitura Dados de Vôo (2)'!P1_flight_data_raw_8</vt:lpstr>
      <vt:lpstr>'T77 - 1'!P1_flight_data_raw_8</vt:lpstr>
      <vt:lpstr>'T77 - 2'!P1_flight_data_raw_8</vt:lpstr>
      <vt:lpstr>'T78 - 1'!P1_flight_data_raw_8</vt:lpstr>
      <vt:lpstr>'T78 - 2'!P1_flight_data_raw_8</vt:lpstr>
      <vt:lpstr>'T79 - 1'!P1_flight_data_raw_8</vt:lpstr>
      <vt:lpstr>'T79 - 2'!P1_flight_data_raw_8</vt:lpstr>
      <vt:lpstr>'T80'!P1_flight_data_raw_8</vt:lpstr>
      <vt:lpstr>'T81'!P1_flight_data_raw_8</vt:lpstr>
      <vt:lpstr>'Leitura Dados de Vôo'!P1_flight_data_raw_9</vt:lpstr>
      <vt:lpstr>'Leitura Dados de Vôo (2)'!P1_flight_data_raw_9</vt:lpstr>
      <vt:lpstr>'T77 - 1'!P1_flight_data_raw_9</vt:lpstr>
      <vt:lpstr>'T77 - 2'!P1_flight_data_raw_9</vt:lpstr>
      <vt:lpstr>'T78 - 1'!P1_flight_data_raw_9</vt:lpstr>
      <vt:lpstr>'T78 - 2'!P1_flight_data_raw_9</vt:lpstr>
      <vt:lpstr>'T79 - 1'!P1_flight_data_raw_9</vt:lpstr>
      <vt:lpstr>'T79 - 2'!P1_flight_data_raw_9</vt:lpstr>
      <vt:lpstr>'T80'!P1_flight_data_raw_9</vt:lpstr>
      <vt:lpstr>'T81'!P1_flight_data_raw_9</vt:lpstr>
      <vt:lpstr>'Leitura Dados de Vôo'!P1_flight_data_true</vt:lpstr>
      <vt:lpstr>'Leitura Dados de Vôo (2)'!P1_flight_data_true</vt:lpstr>
      <vt:lpstr>'T77 - 1'!P1_flight_data_true</vt:lpstr>
      <vt:lpstr>'T77 - 2'!P1_flight_data_true</vt:lpstr>
      <vt:lpstr>'T78 - 1'!P1_flight_data_true</vt:lpstr>
      <vt:lpstr>'T78 - 2'!P1_flight_data_true</vt:lpstr>
      <vt:lpstr>'T79 - 1'!P1_flight_data_true</vt:lpstr>
      <vt:lpstr>'T79 - 2'!P1_flight_data_true</vt:lpstr>
      <vt:lpstr>'T80'!P1_flight_data_true</vt:lpstr>
      <vt:lpstr>'T81'!P1_flight_data_true</vt:lpstr>
      <vt:lpstr>'Leitura Dados de Vôo'!P1_flight_data_true_10</vt:lpstr>
      <vt:lpstr>'Leitura Dados de Vôo (2)'!P1_flight_data_true_10</vt:lpstr>
      <vt:lpstr>'T77 - 1'!P1_flight_data_true_10</vt:lpstr>
      <vt:lpstr>'T77 - 2'!P1_flight_data_true_10</vt:lpstr>
      <vt:lpstr>'T78 - 1'!P1_flight_data_true_10</vt:lpstr>
      <vt:lpstr>'T78 - 2'!P1_flight_data_true_10</vt:lpstr>
      <vt:lpstr>'T79 - 1'!P1_flight_data_true_10</vt:lpstr>
      <vt:lpstr>'T79 - 2'!P1_flight_data_true_10</vt:lpstr>
      <vt:lpstr>'T80'!P1_flight_data_true_10</vt:lpstr>
      <vt:lpstr>'T81'!P1_flight_data_true_10</vt:lpstr>
      <vt:lpstr>'Leitura Dados de Vôo'!P1_flight_data_true_11</vt:lpstr>
      <vt:lpstr>'Leitura Dados de Vôo (2)'!P1_flight_data_true_11</vt:lpstr>
      <vt:lpstr>'T77 - 1'!P1_flight_data_true_11</vt:lpstr>
      <vt:lpstr>'T77 - 2'!P1_flight_data_true_11</vt:lpstr>
      <vt:lpstr>'T78 - 1'!P1_flight_data_true_11</vt:lpstr>
      <vt:lpstr>'T78 - 2'!P1_flight_data_true_11</vt:lpstr>
      <vt:lpstr>'T79 - 1'!P1_flight_data_true_11</vt:lpstr>
      <vt:lpstr>'T79 - 2'!P1_flight_data_true_11</vt:lpstr>
      <vt:lpstr>'T80'!P1_flight_data_true_11</vt:lpstr>
      <vt:lpstr>'T81'!P1_flight_data_true_11</vt:lpstr>
      <vt:lpstr>'Leitura Dados de Vôo'!P1_flight_data_true_12</vt:lpstr>
      <vt:lpstr>'Leitura Dados de Vôo (2)'!P1_flight_data_true_12</vt:lpstr>
      <vt:lpstr>'T77 - 1'!P1_flight_data_true_12</vt:lpstr>
      <vt:lpstr>'T77 - 2'!P1_flight_data_true_12</vt:lpstr>
      <vt:lpstr>'T78 - 1'!P1_flight_data_true_12</vt:lpstr>
      <vt:lpstr>'T78 - 2'!P1_flight_data_true_12</vt:lpstr>
      <vt:lpstr>'T79 - 1'!P1_flight_data_true_12</vt:lpstr>
      <vt:lpstr>'T79 - 2'!P1_flight_data_true_12</vt:lpstr>
      <vt:lpstr>'T80'!P1_flight_data_true_12</vt:lpstr>
      <vt:lpstr>'T81'!P1_flight_data_true_12</vt:lpstr>
      <vt:lpstr>'Leitura Dados de Vôo'!P1_flight_data_true_13</vt:lpstr>
      <vt:lpstr>'Leitura Dados de Vôo (2)'!P1_flight_data_true_13</vt:lpstr>
      <vt:lpstr>'T77 - 1'!P1_flight_data_true_13</vt:lpstr>
      <vt:lpstr>'T77 - 2'!P1_flight_data_true_13</vt:lpstr>
      <vt:lpstr>'T78 - 1'!P1_flight_data_true_13</vt:lpstr>
      <vt:lpstr>'T78 - 2'!P1_flight_data_true_13</vt:lpstr>
      <vt:lpstr>'T79 - 1'!P1_flight_data_true_13</vt:lpstr>
      <vt:lpstr>'T79 - 2'!P1_flight_data_true_13</vt:lpstr>
      <vt:lpstr>'T80'!P1_flight_data_true_13</vt:lpstr>
      <vt:lpstr>'T81'!P1_flight_data_true_13</vt:lpstr>
      <vt:lpstr>'Leitura Dados de Vôo'!P1_flight_data_true_14</vt:lpstr>
      <vt:lpstr>'Leitura Dados de Vôo (2)'!P1_flight_data_true_14</vt:lpstr>
      <vt:lpstr>'T77 - 1'!P1_flight_data_true_14</vt:lpstr>
      <vt:lpstr>'T77 - 2'!P1_flight_data_true_14</vt:lpstr>
      <vt:lpstr>'T78 - 1'!P1_flight_data_true_14</vt:lpstr>
      <vt:lpstr>'T78 - 2'!P1_flight_data_true_14</vt:lpstr>
      <vt:lpstr>'T79 - 1'!P1_flight_data_true_14</vt:lpstr>
      <vt:lpstr>'T79 - 2'!P1_flight_data_true_14</vt:lpstr>
      <vt:lpstr>'T80'!P1_flight_data_true_14</vt:lpstr>
      <vt:lpstr>'T81'!P1_flight_data_true_14</vt:lpstr>
      <vt:lpstr>'Leitura Dados de Vôo'!P1_flight_data_true_15</vt:lpstr>
      <vt:lpstr>'Leitura Dados de Vôo (2)'!P1_flight_data_true_15</vt:lpstr>
      <vt:lpstr>'T77 - 1'!P1_flight_data_true_15</vt:lpstr>
      <vt:lpstr>'T77 - 2'!P1_flight_data_true_15</vt:lpstr>
      <vt:lpstr>'T78 - 1'!P1_flight_data_true_15</vt:lpstr>
      <vt:lpstr>'T78 - 2'!P1_flight_data_true_15</vt:lpstr>
      <vt:lpstr>'T79 - 1'!P1_flight_data_true_15</vt:lpstr>
      <vt:lpstr>'T79 - 2'!P1_flight_data_true_15</vt:lpstr>
      <vt:lpstr>'T80'!P1_flight_data_true_15</vt:lpstr>
      <vt:lpstr>'T81'!P1_flight_data_true_15</vt:lpstr>
      <vt:lpstr>'Leitura Dados de Vôo'!P1_flight_data_true_16</vt:lpstr>
      <vt:lpstr>'Leitura Dados de Vôo (2)'!P1_flight_data_true_16</vt:lpstr>
      <vt:lpstr>'T77 - 1'!P1_flight_data_true_16</vt:lpstr>
      <vt:lpstr>'T77 - 2'!P1_flight_data_true_16</vt:lpstr>
      <vt:lpstr>'T78 - 1'!P1_flight_data_true_16</vt:lpstr>
      <vt:lpstr>'T78 - 2'!P1_flight_data_true_16</vt:lpstr>
      <vt:lpstr>'T79 - 1'!P1_flight_data_true_16</vt:lpstr>
      <vt:lpstr>'T79 - 2'!P1_flight_data_true_16</vt:lpstr>
      <vt:lpstr>'T80'!P1_flight_data_true_16</vt:lpstr>
      <vt:lpstr>'T81'!P1_flight_data_true_16</vt:lpstr>
      <vt:lpstr>'Leitura Dados de Vôo'!P1_flight_data_true_17</vt:lpstr>
      <vt:lpstr>'Leitura Dados de Vôo (2)'!P1_flight_data_true_17</vt:lpstr>
      <vt:lpstr>'T77 - 1'!P1_flight_data_true_17</vt:lpstr>
      <vt:lpstr>'T77 - 2'!P1_flight_data_true_17</vt:lpstr>
      <vt:lpstr>'T78 - 1'!P1_flight_data_true_17</vt:lpstr>
      <vt:lpstr>'T78 - 2'!P1_flight_data_true_17</vt:lpstr>
      <vt:lpstr>'T79 - 1'!P1_flight_data_true_17</vt:lpstr>
      <vt:lpstr>'T79 - 2'!P1_flight_data_true_17</vt:lpstr>
      <vt:lpstr>'T80'!P1_flight_data_true_17</vt:lpstr>
      <vt:lpstr>'T81'!P1_flight_data_true_17</vt:lpstr>
      <vt:lpstr>'Leitura Dados de Vôo'!P1_flight_data_true_18</vt:lpstr>
      <vt:lpstr>'Leitura Dados de Vôo (2)'!P1_flight_data_true_18</vt:lpstr>
      <vt:lpstr>'T77 - 1'!P1_flight_data_true_18</vt:lpstr>
      <vt:lpstr>'T77 - 2'!P1_flight_data_true_18</vt:lpstr>
      <vt:lpstr>'T78 - 1'!P1_flight_data_true_18</vt:lpstr>
      <vt:lpstr>'T78 - 2'!P1_flight_data_true_18</vt:lpstr>
      <vt:lpstr>'T79 - 1'!P1_flight_data_true_18</vt:lpstr>
      <vt:lpstr>'T79 - 2'!P1_flight_data_true_18</vt:lpstr>
      <vt:lpstr>'T80'!P1_flight_data_true_18</vt:lpstr>
      <vt:lpstr>'T81'!P1_flight_data_true_18</vt:lpstr>
      <vt:lpstr>'Leitura Dados de Vôo'!P1_flight_data_true_19</vt:lpstr>
      <vt:lpstr>'Leitura Dados de Vôo (2)'!P1_flight_data_true_19</vt:lpstr>
      <vt:lpstr>'T77 - 1'!P1_flight_data_true_19</vt:lpstr>
      <vt:lpstr>'T77 - 2'!P1_flight_data_true_19</vt:lpstr>
      <vt:lpstr>'T78 - 1'!P1_flight_data_true_19</vt:lpstr>
      <vt:lpstr>'T78 - 2'!P1_flight_data_true_19</vt:lpstr>
      <vt:lpstr>'T79 - 1'!P1_flight_data_true_19</vt:lpstr>
      <vt:lpstr>'T79 - 2'!P1_flight_data_true_19</vt:lpstr>
      <vt:lpstr>'T80'!P1_flight_data_true_19</vt:lpstr>
      <vt:lpstr>'T81'!P1_flight_data_true_19</vt:lpstr>
      <vt:lpstr>'Leitura Dados de Vôo'!P1_flight_data_true_2</vt:lpstr>
      <vt:lpstr>'Leitura Dados de Vôo (2)'!P1_flight_data_true_2</vt:lpstr>
      <vt:lpstr>'T77 - 1'!P1_flight_data_true_2</vt:lpstr>
      <vt:lpstr>'T77 - 2'!P1_flight_data_true_2</vt:lpstr>
      <vt:lpstr>'T78 - 1'!P1_flight_data_true_2</vt:lpstr>
      <vt:lpstr>'T78 - 2'!P1_flight_data_true_2</vt:lpstr>
      <vt:lpstr>'T79 - 1'!P1_flight_data_true_2</vt:lpstr>
      <vt:lpstr>'T79 - 2'!P1_flight_data_true_2</vt:lpstr>
      <vt:lpstr>'T80'!P1_flight_data_true_2</vt:lpstr>
      <vt:lpstr>'T81'!P1_flight_data_true_2</vt:lpstr>
      <vt:lpstr>'Leitura Dados de Vôo'!P1_flight_data_true_20</vt:lpstr>
      <vt:lpstr>'Leitura Dados de Vôo (2)'!P1_flight_data_true_20</vt:lpstr>
      <vt:lpstr>'T77 - 1'!P1_flight_data_true_20</vt:lpstr>
      <vt:lpstr>'T77 - 2'!P1_flight_data_true_20</vt:lpstr>
      <vt:lpstr>'T78 - 1'!P1_flight_data_true_20</vt:lpstr>
      <vt:lpstr>'T78 - 2'!P1_flight_data_true_20</vt:lpstr>
      <vt:lpstr>'T79 - 1'!P1_flight_data_true_20</vt:lpstr>
      <vt:lpstr>'T79 - 2'!P1_flight_data_true_20</vt:lpstr>
      <vt:lpstr>'T80'!P1_flight_data_true_20</vt:lpstr>
      <vt:lpstr>'T81'!P1_flight_data_true_20</vt:lpstr>
      <vt:lpstr>'Leitura Dados de Vôo'!P1_flight_data_true_21</vt:lpstr>
      <vt:lpstr>'Leitura Dados de Vôo (2)'!P1_flight_data_true_21</vt:lpstr>
      <vt:lpstr>'T77 - 1'!P1_flight_data_true_21</vt:lpstr>
      <vt:lpstr>'T77 - 2'!P1_flight_data_true_21</vt:lpstr>
      <vt:lpstr>'T78 - 1'!P1_flight_data_true_21</vt:lpstr>
      <vt:lpstr>'T78 - 2'!P1_flight_data_true_21</vt:lpstr>
      <vt:lpstr>'T79 - 1'!P1_flight_data_true_21</vt:lpstr>
      <vt:lpstr>'T79 - 2'!P1_flight_data_true_21</vt:lpstr>
      <vt:lpstr>'T80'!P1_flight_data_true_21</vt:lpstr>
      <vt:lpstr>'T81'!P1_flight_data_true_21</vt:lpstr>
      <vt:lpstr>'Leitura Dados de Vôo'!P1_flight_data_true_22</vt:lpstr>
      <vt:lpstr>'Leitura Dados de Vôo (2)'!P1_flight_data_true_22</vt:lpstr>
      <vt:lpstr>'T77 - 1'!P1_flight_data_true_22</vt:lpstr>
      <vt:lpstr>'T77 - 2'!P1_flight_data_true_22</vt:lpstr>
      <vt:lpstr>'T78 - 1'!P1_flight_data_true_22</vt:lpstr>
      <vt:lpstr>'T78 - 2'!P1_flight_data_true_22</vt:lpstr>
      <vt:lpstr>'T79 - 1'!P1_flight_data_true_22</vt:lpstr>
      <vt:lpstr>'T79 - 2'!P1_flight_data_true_22</vt:lpstr>
      <vt:lpstr>'T80'!P1_flight_data_true_22</vt:lpstr>
      <vt:lpstr>'T81'!P1_flight_data_true_22</vt:lpstr>
      <vt:lpstr>'Leitura Dados de Vôo'!P1_flight_data_true_23</vt:lpstr>
      <vt:lpstr>'Leitura Dados de Vôo (2)'!P1_flight_data_true_23</vt:lpstr>
      <vt:lpstr>'T77 - 1'!P1_flight_data_true_23</vt:lpstr>
      <vt:lpstr>'T77 - 2'!P1_flight_data_true_23</vt:lpstr>
      <vt:lpstr>'T78 - 1'!P1_flight_data_true_23</vt:lpstr>
      <vt:lpstr>'T78 - 2'!P1_flight_data_true_23</vt:lpstr>
      <vt:lpstr>'T79 - 1'!P1_flight_data_true_23</vt:lpstr>
      <vt:lpstr>'T79 - 2'!P1_flight_data_true_23</vt:lpstr>
      <vt:lpstr>'T80'!P1_flight_data_true_23</vt:lpstr>
      <vt:lpstr>'T81'!P1_flight_data_true_23</vt:lpstr>
      <vt:lpstr>'Leitura Dados de Vôo'!P1_flight_data_true_24</vt:lpstr>
      <vt:lpstr>'Leitura Dados de Vôo (2)'!P1_flight_data_true_24</vt:lpstr>
      <vt:lpstr>'T77 - 1'!P1_flight_data_true_24</vt:lpstr>
      <vt:lpstr>'T77 - 2'!P1_flight_data_true_24</vt:lpstr>
      <vt:lpstr>'T78 - 1'!P1_flight_data_true_24</vt:lpstr>
      <vt:lpstr>'T78 - 2'!P1_flight_data_true_24</vt:lpstr>
      <vt:lpstr>'T79 - 1'!P1_flight_data_true_24</vt:lpstr>
      <vt:lpstr>'T79 - 2'!P1_flight_data_true_24</vt:lpstr>
      <vt:lpstr>'T80'!P1_flight_data_true_24</vt:lpstr>
      <vt:lpstr>'T81'!P1_flight_data_true_24</vt:lpstr>
      <vt:lpstr>'Leitura Dados de Vôo'!P1_flight_data_true_25</vt:lpstr>
      <vt:lpstr>'Leitura Dados de Vôo (2)'!P1_flight_data_true_25</vt:lpstr>
      <vt:lpstr>'T77 - 1'!P1_flight_data_true_25</vt:lpstr>
      <vt:lpstr>'T77 - 2'!P1_flight_data_true_25</vt:lpstr>
      <vt:lpstr>'T78 - 1'!P1_flight_data_true_25</vt:lpstr>
      <vt:lpstr>'T78 - 2'!P1_flight_data_true_25</vt:lpstr>
      <vt:lpstr>'T79 - 1'!P1_flight_data_true_25</vt:lpstr>
      <vt:lpstr>'T79 - 2'!P1_flight_data_true_25</vt:lpstr>
      <vt:lpstr>'T80'!P1_flight_data_true_25</vt:lpstr>
      <vt:lpstr>'T81'!P1_flight_data_true_25</vt:lpstr>
      <vt:lpstr>'Leitura Dados de Vôo'!P1_flight_data_true_26</vt:lpstr>
      <vt:lpstr>'Leitura Dados de Vôo (2)'!P1_flight_data_true_26</vt:lpstr>
      <vt:lpstr>'T77 - 1'!P1_flight_data_true_26</vt:lpstr>
      <vt:lpstr>'T77 - 2'!P1_flight_data_true_26</vt:lpstr>
      <vt:lpstr>'T78 - 1'!P1_flight_data_true_26</vt:lpstr>
      <vt:lpstr>'T78 - 2'!P1_flight_data_true_26</vt:lpstr>
      <vt:lpstr>'T79 - 1'!P1_flight_data_true_26</vt:lpstr>
      <vt:lpstr>'T79 - 2'!P1_flight_data_true_26</vt:lpstr>
      <vt:lpstr>'T80'!P1_flight_data_true_26</vt:lpstr>
      <vt:lpstr>'T81'!P1_flight_data_true_26</vt:lpstr>
      <vt:lpstr>'Leitura Dados de Vôo'!P1_flight_data_true_27</vt:lpstr>
      <vt:lpstr>'Leitura Dados de Vôo (2)'!P1_flight_data_true_27</vt:lpstr>
      <vt:lpstr>'T77 - 1'!P1_flight_data_true_27</vt:lpstr>
      <vt:lpstr>'T77 - 2'!P1_flight_data_true_27</vt:lpstr>
      <vt:lpstr>'T78 - 1'!P1_flight_data_true_27</vt:lpstr>
      <vt:lpstr>'T78 - 2'!P1_flight_data_true_27</vt:lpstr>
      <vt:lpstr>'T79 - 1'!P1_flight_data_true_27</vt:lpstr>
      <vt:lpstr>'T79 - 2'!P1_flight_data_true_27</vt:lpstr>
      <vt:lpstr>'T80'!P1_flight_data_true_27</vt:lpstr>
      <vt:lpstr>'T81'!P1_flight_data_true_27</vt:lpstr>
      <vt:lpstr>'Leitura Dados de Vôo'!P1_flight_data_true_28</vt:lpstr>
      <vt:lpstr>'Leitura Dados de Vôo (2)'!P1_flight_data_true_28</vt:lpstr>
      <vt:lpstr>'T77 - 1'!P1_flight_data_true_28</vt:lpstr>
      <vt:lpstr>'T77 - 2'!P1_flight_data_true_28</vt:lpstr>
      <vt:lpstr>'T78 - 1'!P1_flight_data_true_28</vt:lpstr>
      <vt:lpstr>'T78 - 2'!P1_flight_data_true_28</vt:lpstr>
      <vt:lpstr>'T79 - 1'!P1_flight_data_true_28</vt:lpstr>
      <vt:lpstr>'T79 - 2'!P1_flight_data_true_28</vt:lpstr>
      <vt:lpstr>'T80'!P1_flight_data_true_28</vt:lpstr>
      <vt:lpstr>'T81'!P1_flight_data_true_28</vt:lpstr>
      <vt:lpstr>'Leitura Dados de Vôo'!P1_flight_data_true_29</vt:lpstr>
      <vt:lpstr>'Leitura Dados de Vôo (2)'!P1_flight_data_true_29</vt:lpstr>
      <vt:lpstr>'T77 - 1'!P1_flight_data_true_29</vt:lpstr>
      <vt:lpstr>'T77 - 2'!P1_flight_data_true_29</vt:lpstr>
      <vt:lpstr>'T78 - 1'!P1_flight_data_true_29</vt:lpstr>
      <vt:lpstr>'T78 - 2'!P1_flight_data_true_29</vt:lpstr>
      <vt:lpstr>'T79 - 1'!P1_flight_data_true_29</vt:lpstr>
      <vt:lpstr>'T79 - 2'!P1_flight_data_true_29</vt:lpstr>
      <vt:lpstr>'T80'!P1_flight_data_true_29</vt:lpstr>
      <vt:lpstr>'T81'!P1_flight_data_true_29</vt:lpstr>
      <vt:lpstr>'Leitura Dados de Vôo'!P1_flight_data_true_3</vt:lpstr>
      <vt:lpstr>'Leitura Dados de Vôo (2)'!P1_flight_data_true_3</vt:lpstr>
      <vt:lpstr>'T77 - 1'!P1_flight_data_true_3</vt:lpstr>
      <vt:lpstr>'T77 - 2'!P1_flight_data_true_3</vt:lpstr>
      <vt:lpstr>'T78 - 1'!P1_flight_data_true_3</vt:lpstr>
      <vt:lpstr>'T78 - 2'!P1_flight_data_true_3</vt:lpstr>
      <vt:lpstr>'T79 - 1'!P1_flight_data_true_3</vt:lpstr>
      <vt:lpstr>'T79 - 2'!P1_flight_data_true_3</vt:lpstr>
      <vt:lpstr>'T80'!P1_flight_data_true_3</vt:lpstr>
      <vt:lpstr>'T81'!P1_flight_data_true_3</vt:lpstr>
      <vt:lpstr>'Leitura Dados de Vôo'!P1_flight_data_true_30</vt:lpstr>
      <vt:lpstr>'Leitura Dados de Vôo (2)'!P1_flight_data_true_30</vt:lpstr>
      <vt:lpstr>'T77 - 1'!P1_flight_data_true_30</vt:lpstr>
      <vt:lpstr>'T77 - 2'!P1_flight_data_true_30</vt:lpstr>
      <vt:lpstr>'T78 - 1'!P1_flight_data_true_30</vt:lpstr>
      <vt:lpstr>'T78 - 2'!P1_flight_data_true_30</vt:lpstr>
      <vt:lpstr>'T79 - 1'!P1_flight_data_true_30</vt:lpstr>
      <vt:lpstr>'T79 - 2'!P1_flight_data_true_30</vt:lpstr>
      <vt:lpstr>'T80'!P1_flight_data_true_30</vt:lpstr>
      <vt:lpstr>'T81'!P1_flight_data_true_30</vt:lpstr>
      <vt:lpstr>'Leitura Dados de Vôo'!P1_flight_data_true_31</vt:lpstr>
      <vt:lpstr>'Leitura Dados de Vôo (2)'!P1_flight_data_true_31</vt:lpstr>
      <vt:lpstr>'T77 - 1'!P1_flight_data_true_31</vt:lpstr>
      <vt:lpstr>'T77 - 2'!P1_flight_data_true_31</vt:lpstr>
      <vt:lpstr>'T78 - 1'!P1_flight_data_true_31</vt:lpstr>
      <vt:lpstr>'T78 - 2'!P1_flight_data_true_31</vt:lpstr>
      <vt:lpstr>'T79 - 1'!P1_flight_data_true_31</vt:lpstr>
      <vt:lpstr>'T79 - 2'!P1_flight_data_true_31</vt:lpstr>
      <vt:lpstr>'T80'!P1_flight_data_true_31</vt:lpstr>
      <vt:lpstr>'T81'!P1_flight_data_true_31</vt:lpstr>
      <vt:lpstr>'Leitura Dados de Vôo'!P1_flight_data_true_32</vt:lpstr>
      <vt:lpstr>'Leitura Dados de Vôo (2)'!P1_flight_data_true_32</vt:lpstr>
      <vt:lpstr>'T77 - 1'!P1_flight_data_true_32</vt:lpstr>
      <vt:lpstr>'T77 - 2'!P1_flight_data_true_32</vt:lpstr>
      <vt:lpstr>'T78 - 1'!P1_flight_data_true_32</vt:lpstr>
      <vt:lpstr>'T78 - 2'!P1_flight_data_true_32</vt:lpstr>
      <vt:lpstr>'T79 - 1'!P1_flight_data_true_32</vt:lpstr>
      <vt:lpstr>'T79 - 2'!P1_flight_data_true_32</vt:lpstr>
      <vt:lpstr>'T80'!P1_flight_data_true_32</vt:lpstr>
      <vt:lpstr>'T81'!P1_flight_data_true_32</vt:lpstr>
      <vt:lpstr>'Leitura Dados de Vôo'!P1_flight_data_true_33</vt:lpstr>
      <vt:lpstr>'Leitura Dados de Vôo (2)'!P1_flight_data_true_33</vt:lpstr>
      <vt:lpstr>'T77 - 1'!P1_flight_data_true_33</vt:lpstr>
      <vt:lpstr>'T77 - 2'!P1_flight_data_true_33</vt:lpstr>
      <vt:lpstr>'T78 - 1'!P1_flight_data_true_33</vt:lpstr>
      <vt:lpstr>'T78 - 2'!P1_flight_data_true_33</vt:lpstr>
      <vt:lpstr>'T79 - 1'!P1_flight_data_true_33</vt:lpstr>
      <vt:lpstr>'T79 - 2'!P1_flight_data_true_33</vt:lpstr>
      <vt:lpstr>'T80'!P1_flight_data_true_33</vt:lpstr>
      <vt:lpstr>'T81'!P1_flight_data_true_33</vt:lpstr>
      <vt:lpstr>'Leitura Dados de Vôo'!P1_flight_data_true_34</vt:lpstr>
      <vt:lpstr>'Leitura Dados de Vôo (2)'!P1_flight_data_true_34</vt:lpstr>
      <vt:lpstr>'T77 - 1'!P1_flight_data_true_34</vt:lpstr>
      <vt:lpstr>'T77 - 2'!P1_flight_data_true_34</vt:lpstr>
      <vt:lpstr>'T78 - 1'!P1_flight_data_true_34</vt:lpstr>
      <vt:lpstr>'T78 - 2'!P1_flight_data_true_34</vt:lpstr>
      <vt:lpstr>'T79 - 1'!P1_flight_data_true_34</vt:lpstr>
      <vt:lpstr>'T79 - 2'!P1_flight_data_true_34</vt:lpstr>
      <vt:lpstr>'T80'!P1_flight_data_true_34</vt:lpstr>
      <vt:lpstr>'T81'!P1_flight_data_true_34</vt:lpstr>
      <vt:lpstr>'Leitura Dados de Vôo'!P1_flight_data_true_35</vt:lpstr>
      <vt:lpstr>'Leitura Dados de Vôo (2)'!P1_flight_data_true_35</vt:lpstr>
      <vt:lpstr>'T77 - 1'!P1_flight_data_true_35</vt:lpstr>
      <vt:lpstr>'T77 - 2'!P1_flight_data_true_35</vt:lpstr>
      <vt:lpstr>'T78 - 1'!P1_flight_data_true_35</vt:lpstr>
      <vt:lpstr>'T78 - 2'!P1_flight_data_true_35</vt:lpstr>
      <vt:lpstr>'T79 - 1'!P1_flight_data_true_35</vt:lpstr>
      <vt:lpstr>'T79 - 2'!P1_flight_data_true_35</vt:lpstr>
      <vt:lpstr>'T80'!P1_flight_data_true_35</vt:lpstr>
      <vt:lpstr>'T81'!P1_flight_data_true_35</vt:lpstr>
      <vt:lpstr>'Leitura Dados de Vôo'!P1_flight_data_true_36</vt:lpstr>
      <vt:lpstr>'Leitura Dados de Vôo (2)'!P1_flight_data_true_36</vt:lpstr>
      <vt:lpstr>'T77 - 1'!P1_flight_data_true_36</vt:lpstr>
      <vt:lpstr>'T77 - 2'!P1_flight_data_true_36</vt:lpstr>
      <vt:lpstr>'T78 - 1'!P1_flight_data_true_36</vt:lpstr>
      <vt:lpstr>'T78 - 2'!P1_flight_data_true_36</vt:lpstr>
      <vt:lpstr>'T79 - 1'!P1_flight_data_true_36</vt:lpstr>
      <vt:lpstr>'T79 - 2'!P1_flight_data_true_36</vt:lpstr>
      <vt:lpstr>'T80'!P1_flight_data_true_36</vt:lpstr>
      <vt:lpstr>'T81'!P1_flight_data_true_36</vt:lpstr>
      <vt:lpstr>'Leitura Dados de Vôo'!P1_flight_data_true_37</vt:lpstr>
      <vt:lpstr>'Leitura Dados de Vôo (2)'!P1_flight_data_true_37</vt:lpstr>
      <vt:lpstr>'T77 - 1'!P1_flight_data_true_37</vt:lpstr>
      <vt:lpstr>'T77 - 2'!P1_flight_data_true_37</vt:lpstr>
      <vt:lpstr>'T78 - 1'!P1_flight_data_true_37</vt:lpstr>
      <vt:lpstr>'T78 - 2'!P1_flight_data_true_37</vt:lpstr>
      <vt:lpstr>'T79 - 1'!P1_flight_data_true_37</vt:lpstr>
      <vt:lpstr>'T79 - 2'!P1_flight_data_true_37</vt:lpstr>
      <vt:lpstr>'T80'!P1_flight_data_true_37</vt:lpstr>
      <vt:lpstr>'T81'!P1_flight_data_true_37</vt:lpstr>
      <vt:lpstr>'Leitura Dados de Vôo'!P1_flight_data_true_38</vt:lpstr>
      <vt:lpstr>'Leitura Dados de Vôo (2)'!P1_flight_data_true_38</vt:lpstr>
      <vt:lpstr>'T77 - 1'!P1_flight_data_true_38</vt:lpstr>
      <vt:lpstr>'T77 - 2'!P1_flight_data_true_38</vt:lpstr>
      <vt:lpstr>'T78 - 1'!P1_flight_data_true_38</vt:lpstr>
      <vt:lpstr>'T78 - 2'!P1_flight_data_true_38</vt:lpstr>
      <vt:lpstr>'T79 - 1'!P1_flight_data_true_38</vt:lpstr>
      <vt:lpstr>'T79 - 2'!P1_flight_data_true_38</vt:lpstr>
      <vt:lpstr>'T80'!P1_flight_data_true_38</vt:lpstr>
      <vt:lpstr>'T81'!P1_flight_data_true_38</vt:lpstr>
      <vt:lpstr>'Leitura Dados de Vôo'!P1_flight_data_true_39</vt:lpstr>
      <vt:lpstr>'Leitura Dados de Vôo (2)'!P1_flight_data_true_39</vt:lpstr>
      <vt:lpstr>'T77 - 1'!P1_flight_data_true_39</vt:lpstr>
      <vt:lpstr>'T77 - 2'!P1_flight_data_true_39</vt:lpstr>
      <vt:lpstr>'T78 - 1'!P1_flight_data_true_39</vt:lpstr>
      <vt:lpstr>'T78 - 2'!P1_flight_data_true_39</vt:lpstr>
      <vt:lpstr>'T79 - 1'!P1_flight_data_true_39</vt:lpstr>
      <vt:lpstr>'T79 - 2'!P1_flight_data_true_39</vt:lpstr>
      <vt:lpstr>'T80'!P1_flight_data_true_39</vt:lpstr>
      <vt:lpstr>'T81'!P1_flight_data_true_39</vt:lpstr>
      <vt:lpstr>'Leitura Dados de Vôo'!P1_flight_data_true_4</vt:lpstr>
      <vt:lpstr>'Leitura Dados de Vôo (2)'!P1_flight_data_true_4</vt:lpstr>
      <vt:lpstr>'T77 - 1'!P1_flight_data_true_4</vt:lpstr>
      <vt:lpstr>'T77 - 2'!P1_flight_data_true_4</vt:lpstr>
      <vt:lpstr>'T78 - 1'!P1_flight_data_true_4</vt:lpstr>
      <vt:lpstr>'T78 - 2'!P1_flight_data_true_4</vt:lpstr>
      <vt:lpstr>'T79 - 1'!P1_flight_data_true_4</vt:lpstr>
      <vt:lpstr>'T79 - 2'!P1_flight_data_true_4</vt:lpstr>
      <vt:lpstr>'T80'!P1_flight_data_true_4</vt:lpstr>
      <vt:lpstr>'T81'!P1_flight_data_true_4</vt:lpstr>
      <vt:lpstr>'Leitura Dados de Vôo'!P1_flight_data_true_40</vt:lpstr>
      <vt:lpstr>'Leitura Dados de Vôo (2)'!P1_flight_data_true_40</vt:lpstr>
      <vt:lpstr>'T77 - 1'!P1_flight_data_true_40</vt:lpstr>
      <vt:lpstr>'T77 - 2'!P1_flight_data_true_40</vt:lpstr>
      <vt:lpstr>'T78 - 1'!P1_flight_data_true_40</vt:lpstr>
      <vt:lpstr>'T78 - 2'!P1_flight_data_true_40</vt:lpstr>
      <vt:lpstr>'T79 - 1'!P1_flight_data_true_40</vt:lpstr>
      <vt:lpstr>'T79 - 2'!P1_flight_data_true_40</vt:lpstr>
      <vt:lpstr>'T80'!P1_flight_data_true_40</vt:lpstr>
      <vt:lpstr>'T81'!P1_flight_data_true_40</vt:lpstr>
      <vt:lpstr>'Leitura Dados de Vôo'!P1_flight_data_true_41</vt:lpstr>
      <vt:lpstr>'Leitura Dados de Vôo (2)'!P1_flight_data_true_41</vt:lpstr>
      <vt:lpstr>'T77 - 1'!P1_flight_data_true_41</vt:lpstr>
      <vt:lpstr>'T77 - 2'!P1_flight_data_true_41</vt:lpstr>
      <vt:lpstr>'T78 - 1'!P1_flight_data_true_41</vt:lpstr>
      <vt:lpstr>'T78 - 2'!P1_flight_data_true_41</vt:lpstr>
      <vt:lpstr>'T79 - 1'!P1_flight_data_true_41</vt:lpstr>
      <vt:lpstr>'T79 - 2'!P1_flight_data_true_41</vt:lpstr>
      <vt:lpstr>'T80'!P1_flight_data_true_41</vt:lpstr>
      <vt:lpstr>'T81'!P1_flight_data_true_41</vt:lpstr>
      <vt:lpstr>'Leitura Dados de Vôo'!P1_flight_data_true_42</vt:lpstr>
      <vt:lpstr>'Leitura Dados de Vôo (2)'!P1_flight_data_true_42</vt:lpstr>
      <vt:lpstr>'T77 - 1'!P1_flight_data_true_42</vt:lpstr>
      <vt:lpstr>'T77 - 2'!P1_flight_data_true_42</vt:lpstr>
      <vt:lpstr>'T78 - 1'!P1_flight_data_true_42</vt:lpstr>
      <vt:lpstr>'T78 - 2'!P1_flight_data_true_42</vt:lpstr>
      <vt:lpstr>'T79 - 1'!P1_flight_data_true_42</vt:lpstr>
      <vt:lpstr>'T79 - 2'!P1_flight_data_true_42</vt:lpstr>
      <vt:lpstr>'T80'!P1_flight_data_true_42</vt:lpstr>
      <vt:lpstr>'T81'!P1_flight_data_true_42</vt:lpstr>
      <vt:lpstr>'Leitura Dados de Vôo'!P1_flight_data_true_43</vt:lpstr>
      <vt:lpstr>'Leitura Dados de Vôo (2)'!P1_flight_data_true_43</vt:lpstr>
      <vt:lpstr>'T77 - 1'!P1_flight_data_true_43</vt:lpstr>
      <vt:lpstr>'T77 - 2'!P1_flight_data_true_43</vt:lpstr>
      <vt:lpstr>'T78 - 1'!P1_flight_data_true_43</vt:lpstr>
      <vt:lpstr>'T78 - 2'!P1_flight_data_true_43</vt:lpstr>
      <vt:lpstr>'T79 - 1'!P1_flight_data_true_43</vt:lpstr>
      <vt:lpstr>'T79 - 2'!P1_flight_data_true_43</vt:lpstr>
      <vt:lpstr>'T80'!P1_flight_data_true_43</vt:lpstr>
      <vt:lpstr>'T81'!P1_flight_data_true_43</vt:lpstr>
      <vt:lpstr>'Leitura Dados de Vôo'!P1_flight_data_true_44</vt:lpstr>
      <vt:lpstr>'Leitura Dados de Vôo (2)'!P1_flight_data_true_44</vt:lpstr>
      <vt:lpstr>'T77 - 1'!P1_flight_data_true_44</vt:lpstr>
      <vt:lpstr>'T77 - 2'!P1_flight_data_true_44</vt:lpstr>
      <vt:lpstr>'T78 - 1'!P1_flight_data_true_44</vt:lpstr>
      <vt:lpstr>'T78 - 2'!P1_flight_data_true_44</vt:lpstr>
      <vt:lpstr>'T79 - 1'!P1_flight_data_true_44</vt:lpstr>
      <vt:lpstr>'T79 - 2'!P1_flight_data_true_44</vt:lpstr>
      <vt:lpstr>'T80'!P1_flight_data_true_44</vt:lpstr>
      <vt:lpstr>'T81'!P1_flight_data_true_44</vt:lpstr>
      <vt:lpstr>'Leitura Dados de Vôo'!P1_flight_data_true_45</vt:lpstr>
      <vt:lpstr>'Leitura Dados de Vôo (2)'!P1_flight_data_true_45</vt:lpstr>
      <vt:lpstr>'T77 - 1'!P1_flight_data_true_45</vt:lpstr>
      <vt:lpstr>'T77 - 2'!P1_flight_data_true_45</vt:lpstr>
      <vt:lpstr>'T78 - 1'!P1_flight_data_true_45</vt:lpstr>
      <vt:lpstr>'T78 - 2'!P1_flight_data_true_45</vt:lpstr>
      <vt:lpstr>'T79 - 1'!P1_flight_data_true_45</vt:lpstr>
      <vt:lpstr>'T79 - 2'!P1_flight_data_true_45</vt:lpstr>
      <vt:lpstr>'T80'!P1_flight_data_true_45</vt:lpstr>
      <vt:lpstr>'T81'!P1_flight_data_true_45</vt:lpstr>
      <vt:lpstr>'Leitura Dados de Vôo'!P1_flight_data_true_46</vt:lpstr>
      <vt:lpstr>'Leitura Dados de Vôo (2)'!P1_flight_data_true_46</vt:lpstr>
      <vt:lpstr>'T77 - 1'!P1_flight_data_true_46</vt:lpstr>
      <vt:lpstr>'T77 - 2'!P1_flight_data_true_46</vt:lpstr>
      <vt:lpstr>'T78 - 1'!P1_flight_data_true_46</vt:lpstr>
      <vt:lpstr>'T78 - 2'!P1_flight_data_true_46</vt:lpstr>
      <vt:lpstr>'T79 - 1'!P1_flight_data_true_46</vt:lpstr>
      <vt:lpstr>'T79 - 2'!P1_flight_data_true_46</vt:lpstr>
      <vt:lpstr>'T80'!P1_flight_data_true_46</vt:lpstr>
      <vt:lpstr>'T81'!P1_flight_data_true_46</vt:lpstr>
      <vt:lpstr>'Leitura Dados de Vôo'!P1_flight_data_true_47</vt:lpstr>
      <vt:lpstr>'Leitura Dados de Vôo (2)'!P1_flight_data_true_47</vt:lpstr>
      <vt:lpstr>'T77 - 1'!P1_flight_data_true_47</vt:lpstr>
      <vt:lpstr>'T77 - 2'!P1_flight_data_true_47</vt:lpstr>
      <vt:lpstr>'T78 - 1'!P1_flight_data_true_47</vt:lpstr>
      <vt:lpstr>'T78 - 2'!P1_flight_data_true_47</vt:lpstr>
      <vt:lpstr>'T79 - 1'!P1_flight_data_true_47</vt:lpstr>
      <vt:lpstr>'T79 - 2'!P1_flight_data_true_47</vt:lpstr>
      <vt:lpstr>'T80'!P1_flight_data_true_47</vt:lpstr>
      <vt:lpstr>'T81'!P1_flight_data_true_47</vt:lpstr>
      <vt:lpstr>'Leitura Dados de Vôo'!P1_flight_data_true_48</vt:lpstr>
      <vt:lpstr>'Leitura Dados de Vôo (2)'!P1_flight_data_true_48</vt:lpstr>
      <vt:lpstr>'T77 - 1'!P1_flight_data_true_48</vt:lpstr>
      <vt:lpstr>'T77 - 2'!P1_flight_data_true_48</vt:lpstr>
      <vt:lpstr>'T78 - 1'!P1_flight_data_true_48</vt:lpstr>
      <vt:lpstr>'T78 - 2'!P1_flight_data_true_48</vt:lpstr>
      <vt:lpstr>'T79 - 1'!P1_flight_data_true_48</vt:lpstr>
      <vt:lpstr>'T79 - 2'!P1_flight_data_true_48</vt:lpstr>
      <vt:lpstr>'T80'!P1_flight_data_true_48</vt:lpstr>
      <vt:lpstr>'T81'!P1_flight_data_true_48</vt:lpstr>
      <vt:lpstr>'Leitura Dados de Vôo'!P1_flight_data_true_49</vt:lpstr>
      <vt:lpstr>'Leitura Dados de Vôo (2)'!P1_flight_data_true_49</vt:lpstr>
      <vt:lpstr>'T77 - 1'!P1_flight_data_true_49</vt:lpstr>
      <vt:lpstr>'T77 - 2'!P1_flight_data_true_49</vt:lpstr>
      <vt:lpstr>'T78 - 1'!P1_flight_data_true_49</vt:lpstr>
      <vt:lpstr>'T78 - 2'!P1_flight_data_true_49</vt:lpstr>
      <vt:lpstr>'T79 - 1'!P1_flight_data_true_49</vt:lpstr>
      <vt:lpstr>'T79 - 2'!P1_flight_data_true_49</vt:lpstr>
      <vt:lpstr>'T80'!P1_flight_data_true_49</vt:lpstr>
      <vt:lpstr>'T81'!P1_flight_data_true_49</vt:lpstr>
      <vt:lpstr>'Leitura Dados de Vôo'!P1_flight_data_true_5</vt:lpstr>
      <vt:lpstr>'Leitura Dados de Vôo (2)'!P1_flight_data_true_5</vt:lpstr>
      <vt:lpstr>'T77 - 1'!P1_flight_data_true_5</vt:lpstr>
      <vt:lpstr>'T77 - 2'!P1_flight_data_true_5</vt:lpstr>
      <vt:lpstr>'T78 - 1'!P1_flight_data_true_5</vt:lpstr>
      <vt:lpstr>'T78 - 2'!P1_flight_data_true_5</vt:lpstr>
      <vt:lpstr>'T79 - 1'!P1_flight_data_true_5</vt:lpstr>
      <vt:lpstr>'T79 - 2'!P1_flight_data_true_5</vt:lpstr>
      <vt:lpstr>'T80'!P1_flight_data_true_5</vt:lpstr>
      <vt:lpstr>'T81'!P1_flight_data_true_5</vt:lpstr>
      <vt:lpstr>'Leitura Dados de Vôo'!P1_flight_data_true_50</vt:lpstr>
      <vt:lpstr>'Leitura Dados de Vôo (2)'!P1_flight_data_true_50</vt:lpstr>
      <vt:lpstr>'T77 - 1'!P1_flight_data_true_50</vt:lpstr>
      <vt:lpstr>'T77 - 2'!P1_flight_data_true_50</vt:lpstr>
      <vt:lpstr>'T78 - 1'!P1_flight_data_true_50</vt:lpstr>
      <vt:lpstr>'T78 - 2'!P1_flight_data_true_50</vt:lpstr>
      <vt:lpstr>'T79 - 1'!P1_flight_data_true_50</vt:lpstr>
      <vt:lpstr>'T79 - 2'!P1_flight_data_true_50</vt:lpstr>
      <vt:lpstr>'T80'!P1_flight_data_true_50</vt:lpstr>
      <vt:lpstr>'T81'!P1_flight_data_true_50</vt:lpstr>
      <vt:lpstr>'Leitura Dados de Vôo'!P1_flight_data_true_51</vt:lpstr>
      <vt:lpstr>'Leitura Dados de Vôo (2)'!P1_flight_data_true_51</vt:lpstr>
      <vt:lpstr>'T77 - 1'!P1_flight_data_true_51</vt:lpstr>
      <vt:lpstr>'T77 - 2'!P1_flight_data_true_51</vt:lpstr>
      <vt:lpstr>'T78 - 1'!P1_flight_data_true_51</vt:lpstr>
      <vt:lpstr>'T78 - 2'!P1_flight_data_true_51</vt:lpstr>
      <vt:lpstr>'T79 - 1'!P1_flight_data_true_51</vt:lpstr>
      <vt:lpstr>'T79 - 2'!P1_flight_data_true_51</vt:lpstr>
      <vt:lpstr>'T80'!P1_flight_data_true_51</vt:lpstr>
      <vt:lpstr>'T81'!P1_flight_data_true_51</vt:lpstr>
      <vt:lpstr>'Leitura Dados de Vôo'!P1_flight_data_true_52</vt:lpstr>
      <vt:lpstr>'Leitura Dados de Vôo (2)'!P1_flight_data_true_52</vt:lpstr>
      <vt:lpstr>'T77 - 1'!P1_flight_data_true_52</vt:lpstr>
      <vt:lpstr>'T77 - 2'!P1_flight_data_true_52</vt:lpstr>
      <vt:lpstr>'T78 - 1'!P1_flight_data_true_52</vt:lpstr>
      <vt:lpstr>'T78 - 2'!P1_flight_data_true_52</vt:lpstr>
      <vt:lpstr>'T79 - 1'!P1_flight_data_true_52</vt:lpstr>
      <vt:lpstr>'T79 - 2'!P1_flight_data_true_52</vt:lpstr>
      <vt:lpstr>'T80'!P1_flight_data_true_52</vt:lpstr>
      <vt:lpstr>'T81'!P1_flight_data_true_52</vt:lpstr>
      <vt:lpstr>'Leitura Dados de Vôo'!P1_flight_data_true_53</vt:lpstr>
      <vt:lpstr>'Leitura Dados de Vôo (2)'!P1_flight_data_true_53</vt:lpstr>
      <vt:lpstr>'T77 - 1'!P1_flight_data_true_53</vt:lpstr>
      <vt:lpstr>'T77 - 2'!P1_flight_data_true_53</vt:lpstr>
      <vt:lpstr>'T78 - 1'!P1_flight_data_true_53</vt:lpstr>
      <vt:lpstr>'T78 - 2'!P1_flight_data_true_53</vt:lpstr>
      <vt:lpstr>'T79 - 1'!P1_flight_data_true_53</vt:lpstr>
      <vt:lpstr>'T79 - 2'!P1_flight_data_true_53</vt:lpstr>
      <vt:lpstr>'T80'!P1_flight_data_true_53</vt:lpstr>
      <vt:lpstr>'T81'!P1_flight_data_true_53</vt:lpstr>
      <vt:lpstr>'Leitura Dados de Vôo'!P1_flight_data_true_54</vt:lpstr>
      <vt:lpstr>'Leitura Dados de Vôo (2)'!P1_flight_data_true_54</vt:lpstr>
      <vt:lpstr>'T77 - 1'!P1_flight_data_true_54</vt:lpstr>
      <vt:lpstr>'T77 - 2'!P1_flight_data_true_54</vt:lpstr>
      <vt:lpstr>'T78 - 1'!P1_flight_data_true_54</vt:lpstr>
      <vt:lpstr>'T78 - 2'!P1_flight_data_true_54</vt:lpstr>
      <vt:lpstr>'T79 - 1'!P1_flight_data_true_54</vt:lpstr>
      <vt:lpstr>'T79 - 2'!P1_flight_data_true_54</vt:lpstr>
      <vt:lpstr>'T80'!P1_flight_data_true_54</vt:lpstr>
      <vt:lpstr>'T81'!P1_flight_data_true_54</vt:lpstr>
      <vt:lpstr>'Leitura Dados de Vôo'!P1_flight_data_true_55</vt:lpstr>
      <vt:lpstr>'Leitura Dados de Vôo (2)'!P1_flight_data_true_55</vt:lpstr>
      <vt:lpstr>'T77 - 1'!P1_flight_data_true_55</vt:lpstr>
      <vt:lpstr>'T77 - 2'!P1_flight_data_true_55</vt:lpstr>
      <vt:lpstr>'T78 - 1'!P1_flight_data_true_55</vt:lpstr>
      <vt:lpstr>'T78 - 2'!P1_flight_data_true_55</vt:lpstr>
      <vt:lpstr>'T79 - 1'!P1_flight_data_true_55</vt:lpstr>
      <vt:lpstr>'T79 - 2'!P1_flight_data_true_55</vt:lpstr>
      <vt:lpstr>'T80'!P1_flight_data_true_55</vt:lpstr>
      <vt:lpstr>'T81'!P1_flight_data_true_55</vt:lpstr>
      <vt:lpstr>'Leitura Dados de Vôo'!P1_flight_data_true_56</vt:lpstr>
      <vt:lpstr>'Leitura Dados de Vôo (2)'!P1_flight_data_true_56</vt:lpstr>
      <vt:lpstr>'T77 - 1'!P1_flight_data_true_56</vt:lpstr>
      <vt:lpstr>'T77 - 2'!P1_flight_data_true_56</vt:lpstr>
      <vt:lpstr>'T78 - 1'!P1_flight_data_true_56</vt:lpstr>
      <vt:lpstr>'T78 - 2'!P1_flight_data_true_56</vt:lpstr>
      <vt:lpstr>'T79 - 1'!P1_flight_data_true_56</vt:lpstr>
      <vt:lpstr>'T79 - 2'!P1_flight_data_true_56</vt:lpstr>
      <vt:lpstr>'T80'!P1_flight_data_true_56</vt:lpstr>
      <vt:lpstr>'T81'!P1_flight_data_true_56</vt:lpstr>
      <vt:lpstr>'Leitura Dados de Vôo'!P1_flight_data_true_57</vt:lpstr>
      <vt:lpstr>'Leitura Dados de Vôo (2)'!P1_flight_data_true_57</vt:lpstr>
      <vt:lpstr>'T77 - 1'!P1_flight_data_true_57</vt:lpstr>
      <vt:lpstr>'T77 - 2'!P1_flight_data_true_57</vt:lpstr>
      <vt:lpstr>'T78 - 1'!P1_flight_data_true_57</vt:lpstr>
      <vt:lpstr>'T78 - 2'!P1_flight_data_true_57</vt:lpstr>
      <vt:lpstr>'T79 - 1'!P1_flight_data_true_57</vt:lpstr>
      <vt:lpstr>'T79 - 2'!P1_flight_data_true_57</vt:lpstr>
      <vt:lpstr>'T80'!P1_flight_data_true_57</vt:lpstr>
      <vt:lpstr>'T81'!P1_flight_data_true_57</vt:lpstr>
      <vt:lpstr>'Leitura Dados de Vôo'!P1_flight_data_true_58</vt:lpstr>
      <vt:lpstr>'Leitura Dados de Vôo (2)'!P1_flight_data_true_58</vt:lpstr>
      <vt:lpstr>'T77 - 1'!P1_flight_data_true_58</vt:lpstr>
      <vt:lpstr>'T77 - 2'!P1_flight_data_true_58</vt:lpstr>
      <vt:lpstr>'T78 - 1'!P1_flight_data_true_58</vt:lpstr>
      <vt:lpstr>'T78 - 2'!P1_flight_data_true_58</vt:lpstr>
      <vt:lpstr>'T79 - 1'!P1_flight_data_true_58</vt:lpstr>
      <vt:lpstr>'T79 - 2'!P1_flight_data_true_58</vt:lpstr>
      <vt:lpstr>'T80'!P1_flight_data_true_58</vt:lpstr>
      <vt:lpstr>'T81'!P1_flight_data_true_58</vt:lpstr>
      <vt:lpstr>'Leitura Dados de Vôo'!P1_flight_data_true_59</vt:lpstr>
      <vt:lpstr>'Leitura Dados de Vôo (2)'!P1_flight_data_true_59</vt:lpstr>
      <vt:lpstr>'T77 - 1'!P1_flight_data_true_59</vt:lpstr>
      <vt:lpstr>'T77 - 2'!P1_flight_data_true_59</vt:lpstr>
      <vt:lpstr>'T78 - 1'!P1_flight_data_true_59</vt:lpstr>
      <vt:lpstr>'T78 - 2'!P1_flight_data_true_59</vt:lpstr>
      <vt:lpstr>'T79 - 1'!P1_flight_data_true_59</vt:lpstr>
      <vt:lpstr>'T79 - 2'!P1_flight_data_true_59</vt:lpstr>
      <vt:lpstr>'T80'!P1_flight_data_true_59</vt:lpstr>
      <vt:lpstr>'T81'!P1_flight_data_true_59</vt:lpstr>
      <vt:lpstr>'Leitura Dados de Vôo'!P1_flight_data_true_6</vt:lpstr>
      <vt:lpstr>'Leitura Dados de Vôo (2)'!P1_flight_data_true_6</vt:lpstr>
      <vt:lpstr>'T77 - 1'!P1_flight_data_true_6</vt:lpstr>
      <vt:lpstr>'T77 - 2'!P1_flight_data_true_6</vt:lpstr>
      <vt:lpstr>'T78 - 1'!P1_flight_data_true_6</vt:lpstr>
      <vt:lpstr>'T78 - 2'!P1_flight_data_true_6</vt:lpstr>
      <vt:lpstr>'T79 - 1'!P1_flight_data_true_6</vt:lpstr>
      <vt:lpstr>'T79 - 2'!P1_flight_data_true_6</vt:lpstr>
      <vt:lpstr>'T80'!P1_flight_data_true_6</vt:lpstr>
      <vt:lpstr>'T81'!P1_flight_data_true_6</vt:lpstr>
      <vt:lpstr>'Leitura Dados de Vôo'!P1_flight_data_true_60</vt:lpstr>
      <vt:lpstr>'Leitura Dados de Vôo (2)'!P1_flight_data_true_60</vt:lpstr>
      <vt:lpstr>'T77 - 1'!P1_flight_data_true_60</vt:lpstr>
      <vt:lpstr>'T77 - 2'!P1_flight_data_true_60</vt:lpstr>
      <vt:lpstr>'T78 - 1'!P1_flight_data_true_60</vt:lpstr>
      <vt:lpstr>'T78 - 2'!P1_flight_data_true_60</vt:lpstr>
      <vt:lpstr>'T79 - 1'!P1_flight_data_true_60</vt:lpstr>
      <vt:lpstr>'T79 - 2'!P1_flight_data_true_60</vt:lpstr>
      <vt:lpstr>'T80'!P1_flight_data_true_60</vt:lpstr>
      <vt:lpstr>'T81'!P1_flight_data_true_60</vt:lpstr>
      <vt:lpstr>'Leitura Dados de Vôo'!P1_flight_data_true_61</vt:lpstr>
      <vt:lpstr>'Leitura Dados de Vôo (2)'!P1_flight_data_true_61</vt:lpstr>
      <vt:lpstr>'T77 - 1'!P1_flight_data_true_61</vt:lpstr>
      <vt:lpstr>'T77 - 2'!P1_flight_data_true_61</vt:lpstr>
      <vt:lpstr>'T78 - 1'!P1_flight_data_true_61</vt:lpstr>
      <vt:lpstr>'T78 - 2'!P1_flight_data_true_61</vt:lpstr>
      <vt:lpstr>'T79 - 1'!P1_flight_data_true_61</vt:lpstr>
      <vt:lpstr>'T79 - 2'!P1_flight_data_true_61</vt:lpstr>
      <vt:lpstr>'T80'!P1_flight_data_true_61</vt:lpstr>
      <vt:lpstr>'T81'!P1_flight_data_true_61</vt:lpstr>
      <vt:lpstr>'Leitura Dados de Vôo'!P1_flight_data_true_62</vt:lpstr>
      <vt:lpstr>'Leitura Dados de Vôo (2)'!P1_flight_data_true_62</vt:lpstr>
      <vt:lpstr>'T77 - 1'!P1_flight_data_true_62</vt:lpstr>
      <vt:lpstr>'T77 - 2'!P1_flight_data_true_62</vt:lpstr>
      <vt:lpstr>'T78 - 1'!P1_flight_data_true_62</vt:lpstr>
      <vt:lpstr>'T78 - 2'!P1_flight_data_true_62</vt:lpstr>
      <vt:lpstr>'T79 - 1'!P1_flight_data_true_62</vt:lpstr>
      <vt:lpstr>'T79 - 2'!P1_flight_data_true_62</vt:lpstr>
      <vt:lpstr>'T80'!P1_flight_data_true_62</vt:lpstr>
      <vt:lpstr>'T81'!P1_flight_data_true_62</vt:lpstr>
      <vt:lpstr>'Leitura Dados de Vôo'!P1_flight_data_true_63</vt:lpstr>
      <vt:lpstr>'Leitura Dados de Vôo (2)'!P1_flight_data_true_63</vt:lpstr>
      <vt:lpstr>'T77 - 1'!P1_flight_data_true_63</vt:lpstr>
      <vt:lpstr>'T77 - 2'!P1_flight_data_true_63</vt:lpstr>
      <vt:lpstr>'T78 - 1'!P1_flight_data_true_63</vt:lpstr>
      <vt:lpstr>'T78 - 2'!P1_flight_data_true_63</vt:lpstr>
      <vt:lpstr>'T79 - 1'!P1_flight_data_true_63</vt:lpstr>
      <vt:lpstr>'T79 - 2'!P1_flight_data_true_63</vt:lpstr>
      <vt:lpstr>'T80'!P1_flight_data_true_63</vt:lpstr>
      <vt:lpstr>'T81'!P1_flight_data_true_63</vt:lpstr>
      <vt:lpstr>'Leitura Dados de Vôo'!P1_flight_data_true_64</vt:lpstr>
      <vt:lpstr>'Leitura Dados de Vôo (2)'!P1_flight_data_true_64</vt:lpstr>
      <vt:lpstr>'T77 - 1'!P1_flight_data_true_64</vt:lpstr>
      <vt:lpstr>'T77 - 2'!P1_flight_data_true_64</vt:lpstr>
      <vt:lpstr>'T78 - 1'!P1_flight_data_true_64</vt:lpstr>
      <vt:lpstr>'T78 - 2'!P1_flight_data_true_64</vt:lpstr>
      <vt:lpstr>'T79 - 1'!P1_flight_data_true_64</vt:lpstr>
      <vt:lpstr>'T79 - 2'!P1_flight_data_true_64</vt:lpstr>
      <vt:lpstr>'T80'!P1_flight_data_true_64</vt:lpstr>
      <vt:lpstr>'T81'!P1_flight_data_true_64</vt:lpstr>
      <vt:lpstr>'Leitura Dados de Vôo'!P1_flight_data_true_65</vt:lpstr>
      <vt:lpstr>'Leitura Dados de Vôo (2)'!P1_flight_data_true_65</vt:lpstr>
      <vt:lpstr>'T77 - 1'!P1_flight_data_true_65</vt:lpstr>
      <vt:lpstr>'T77 - 2'!P1_flight_data_true_65</vt:lpstr>
      <vt:lpstr>'T78 - 1'!P1_flight_data_true_65</vt:lpstr>
      <vt:lpstr>'T78 - 2'!P1_flight_data_true_65</vt:lpstr>
      <vt:lpstr>'T79 - 1'!P1_flight_data_true_65</vt:lpstr>
      <vt:lpstr>'T79 - 2'!P1_flight_data_true_65</vt:lpstr>
      <vt:lpstr>'T80'!P1_flight_data_true_65</vt:lpstr>
      <vt:lpstr>'T81'!P1_flight_data_true_65</vt:lpstr>
      <vt:lpstr>'Leitura Dados de Vôo'!P1_flight_data_true_66</vt:lpstr>
      <vt:lpstr>'Leitura Dados de Vôo (2)'!P1_flight_data_true_66</vt:lpstr>
      <vt:lpstr>'T77 - 1'!P1_flight_data_true_66</vt:lpstr>
      <vt:lpstr>'T77 - 2'!P1_flight_data_true_66</vt:lpstr>
      <vt:lpstr>'T78 - 1'!P1_flight_data_true_66</vt:lpstr>
      <vt:lpstr>'T78 - 2'!P1_flight_data_true_66</vt:lpstr>
      <vt:lpstr>'T79 - 1'!P1_flight_data_true_66</vt:lpstr>
      <vt:lpstr>'T79 - 2'!P1_flight_data_true_66</vt:lpstr>
      <vt:lpstr>'T80'!P1_flight_data_true_66</vt:lpstr>
      <vt:lpstr>'T81'!P1_flight_data_true_66</vt:lpstr>
      <vt:lpstr>'Leitura Dados de Vôo'!P1_flight_data_true_67</vt:lpstr>
      <vt:lpstr>'Leitura Dados de Vôo (2)'!P1_flight_data_true_67</vt:lpstr>
      <vt:lpstr>'T77 - 1'!P1_flight_data_true_67</vt:lpstr>
      <vt:lpstr>'T77 - 2'!P1_flight_data_true_67</vt:lpstr>
      <vt:lpstr>'T78 - 1'!P1_flight_data_true_67</vt:lpstr>
      <vt:lpstr>'T78 - 2'!P1_flight_data_true_67</vt:lpstr>
      <vt:lpstr>'T79 - 1'!P1_flight_data_true_67</vt:lpstr>
      <vt:lpstr>'T79 - 2'!P1_flight_data_true_67</vt:lpstr>
      <vt:lpstr>'T80'!P1_flight_data_true_67</vt:lpstr>
      <vt:lpstr>'T81'!P1_flight_data_true_67</vt:lpstr>
      <vt:lpstr>'Leitura Dados de Vôo'!P1_flight_data_true_68</vt:lpstr>
      <vt:lpstr>'Leitura Dados de Vôo (2)'!P1_flight_data_true_68</vt:lpstr>
      <vt:lpstr>'T77 - 1'!P1_flight_data_true_68</vt:lpstr>
      <vt:lpstr>'T77 - 2'!P1_flight_data_true_68</vt:lpstr>
      <vt:lpstr>'T78 - 1'!P1_flight_data_true_68</vt:lpstr>
      <vt:lpstr>'T78 - 2'!P1_flight_data_true_68</vt:lpstr>
      <vt:lpstr>'T79 - 1'!P1_flight_data_true_68</vt:lpstr>
      <vt:lpstr>'T79 - 2'!P1_flight_data_true_68</vt:lpstr>
      <vt:lpstr>'T80'!P1_flight_data_true_68</vt:lpstr>
      <vt:lpstr>'T81'!P1_flight_data_true_68</vt:lpstr>
      <vt:lpstr>'Leitura Dados de Vôo'!P1_flight_data_true_69</vt:lpstr>
      <vt:lpstr>'Leitura Dados de Vôo (2)'!P1_flight_data_true_69</vt:lpstr>
      <vt:lpstr>'T77 - 1'!P1_flight_data_true_69</vt:lpstr>
      <vt:lpstr>'T77 - 2'!P1_flight_data_true_69</vt:lpstr>
      <vt:lpstr>'T78 - 1'!P1_flight_data_true_69</vt:lpstr>
      <vt:lpstr>'T78 - 2'!P1_flight_data_true_69</vt:lpstr>
      <vt:lpstr>'T79 - 1'!P1_flight_data_true_69</vt:lpstr>
      <vt:lpstr>'T79 - 2'!P1_flight_data_true_69</vt:lpstr>
      <vt:lpstr>'T80'!P1_flight_data_true_69</vt:lpstr>
      <vt:lpstr>'T81'!P1_flight_data_true_69</vt:lpstr>
      <vt:lpstr>'Leitura Dados de Vôo'!P1_flight_data_true_70</vt:lpstr>
      <vt:lpstr>'T77 - 1'!P1_flight_data_true_70</vt:lpstr>
      <vt:lpstr>'T77 - 2'!P1_flight_data_true_70</vt:lpstr>
      <vt:lpstr>'T78 - 1'!P1_flight_data_true_70</vt:lpstr>
      <vt:lpstr>'T78 - 2'!P1_flight_data_true_70</vt:lpstr>
      <vt:lpstr>'T79 - 1'!P1_flight_data_true_70</vt:lpstr>
      <vt:lpstr>'T79 - 2'!P1_flight_data_true_70</vt:lpstr>
      <vt:lpstr>'T80'!P1_flight_data_true_70</vt:lpstr>
      <vt:lpstr>'T81'!P1_flight_data_true_70</vt:lpstr>
      <vt:lpstr>'Leitura Dados de Vôo'!P1_flight_data_true_71</vt:lpstr>
      <vt:lpstr>'T77 - 1'!P1_flight_data_true_71</vt:lpstr>
      <vt:lpstr>'T77 - 2'!P1_flight_data_true_71</vt:lpstr>
      <vt:lpstr>'T78 - 1'!P1_flight_data_true_71</vt:lpstr>
      <vt:lpstr>'T78 - 2'!P1_flight_data_true_71</vt:lpstr>
      <vt:lpstr>'T79 - 1'!P1_flight_data_true_71</vt:lpstr>
      <vt:lpstr>'T79 - 2'!P1_flight_data_true_71</vt:lpstr>
      <vt:lpstr>'T80'!P1_flight_data_true_71</vt:lpstr>
      <vt:lpstr>'T81'!P1_flight_data_true_71</vt:lpstr>
      <vt:lpstr>'Leitura Dados de Vôo'!P1_flight_data_true_72</vt:lpstr>
      <vt:lpstr>'T77 - 1'!P1_flight_data_true_72</vt:lpstr>
      <vt:lpstr>'T77 - 2'!P1_flight_data_true_72</vt:lpstr>
      <vt:lpstr>'T78 - 1'!P1_flight_data_true_72</vt:lpstr>
      <vt:lpstr>'T78 - 2'!P1_flight_data_true_72</vt:lpstr>
      <vt:lpstr>'T79 - 1'!P1_flight_data_true_72</vt:lpstr>
      <vt:lpstr>'T79 - 2'!P1_flight_data_true_72</vt:lpstr>
      <vt:lpstr>'T80'!P1_flight_data_true_72</vt:lpstr>
      <vt:lpstr>'T81'!P1_flight_data_true_72</vt:lpstr>
      <vt:lpstr>'Leitura Dados de Vôo'!P1_flight_data_true_73</vt:lpstr>
      <vt:lpstr>'T77 - 1'!P1_flight_data_true_73</vt:lpstr>
      <vt:lpstr>'T77 - 2'!P1_flight_data_true_73</vt:lpstr>
      <vt:lpstr>'T78 - 1'!P1_flight_data_true_73</vt:lpstr>
      <vt:lpstr>'T78 - 2'!P1_flight_data_true_73</vt:lpstr>
      <vt:lpstr>'T79 - 1'!P1_flight_data_true_73</vt:lpstr>
      <vt:lpstr>'T79 - 2'!P1_flight_data_true_73</vt:lpstr>
      <vt:lpstr>'T80'!P1_flight_data_true_73</vt:lpstr>
      <vt:lpstr>'T81'!P1_flight_data_true_73</vt:lpstr>
      <vt:lpstr>'Leitura Dados de Vôo'!P1_flight_data_true_74</vt:lpstr>
      <vt:lpstr>'T77 - 1'!P1_flight_data_true_74</vt:lpstr>
      <vt:lpstr>'T77 - 2'!P1_flight_data_true_74</vt:lpstr>
      <vt:lpstr>'T78 - 1'!P1_flight_data_true_74</vt:lpstr>
      <vt:lpstr>'T78 - 2'!P1_flight_data_true_74</vt:lpstr>
      <vt:lpstr>'T79 - 1'!P1_flight_data_true_74</vt:lpstr>
      <vt:lpstr>'T79 - 2'!P1_flight_data_true_74</vt:lpstr>
      <vt:lpstr>'T80'!P1_flight_data_true_74</vt:lpstr>
      <vt:lpstr>'T81'!P1_flight_data_true_74</vt:lpstr>
      <vt:lpstr>'Leitura Dados de Vôo'!P1_flight_data_true_75</vt:lpstr>
      <vt:lpstr>'T77 - 2'!P1_flight_data_true_75</vt:lpstr>
      <vt:lpstr>'T78 - 1'!P1_flight_data_true_75</vt:lpstr>
      <vt:lpstr>'T78 - 2'!P1_flight_data_true_75</vt:lpstr>
      <vt:lpstr>'T79 - 1'!P1_flight_data_true_75</vt:lpstr>
      <vt:lpstr>'T79 - 2'!P1_flight_data_true_75</vt:lpstr>
      <vt:lpstr>'T80'!P1_flight_data_true_75</vt:lpstr>
      <vt:lpstr>'T81'!P1_flight_data_true_75</vt:lpstr>
      <vt:lpstr>'Leitura Dados de Vôo'!P1_flight_data_true_76</vt:lpstr>
      <vt:lpstr>'T78 - 1'!P1_flight_data_true_76</vt:lpstr>
      <vt:lpstr>'T78 - 2'!P1_flight_data_true_76</vt:lpstr>
      <vt:lpstr>'T79 - 1'!P1_flight_data_true_76</vt:lpstr>
      <vt:lpstr>'T79 - 2'!P1_flight_data_true_76</vt:lpstr>
      <vt:lpstr>'T80'!P1_flight_data_true_76</vt:lpstr>
      <vt:lpstr>'T81'!P1_flight_data_true_76</vt:lpstr>
      <vt:lpstr>'Leitura Dados de Vôo'!P1_flight_data_true_77</vt:lpstr>
      <vt:lpstr>'T78 - 2'!P1_flight_data_true_77</vt:lpstr>
      <vt:lpstr>'T79 - 1'!P1_flight_data_true_77</vt:lpstr>
      <vt:lpstr>'T79 - 2'!P1_flight_data_true_77</vt:lpstr>
      <vt:lpstr>'T80'!P1_flight_data_true_77</vt:lpstr>
      <vt:lpstr>'T81'!P1_flight_data_true_77</vt:lpstr>
      <vt:lpstr>'Leitura Dados de Vôo'!P1_flight_data_true_78</vt:lpstr>
      <vt:lpstr>'T79 - 1'!P1_flight_data_true_78</vt:lpstr>
      <vt:lpstr>'T79 - 2'!P1_flight_data_true_78</vt:lpstr>
      <vt:lpstr>'T80'!P1_flight_data_true_78</vt:lpstr>
      <vt:lpstr>'T81'!P1_flight_data_true_78</vt:lpstr>
      <vt:lpstr>'Leitura Dados de Vôo'!P1_flight_data_true_79</vt:lpstr>
      <vt:lpstr>'T80'!P1_flight_data_true_79</vt:lpstr>
      <vt:lpstr>'T81'!P1_flight_data_true_79</vt:lpstr>
      <vt:lpstr>'Leitura Dados de Vôo'!P1_flight_data_true_8</vt:lpstr>
      <vt:lpstr>'Leitura Dados de Vôo (2)'!P1_flight_data_true_8</vt:lpstr>
      <vt:lpstr>'T77 - 1'!P1_flight_data_true_8</vt:lpstr>
      <vt:lpstr>'T77 - 2'!P1_flight_data_true_8</vt:lpstr>
      <vt:lpstr>'T78 - 1'!P1_flight_data_true_8</vt:lpstr>
      <vt:lpstr>'T78 - 2'!P1_flight_data_true_8</vt:lpstr>
      <vt:lpstr>'T79 - 1'!P1_flight_data_true_8</vt:lpstr>
      <vt:lpstr>'T79 - 2'!P1_flight_data_true_8</vt:lpstr>
      <vt:lpstr>'T80'!P1_flight_data_true_8</vt:lpstr>
      <vt:lpstr>'T81'!P1_flight_data_true_8</vt:lpstr>
      <vt:lpstr>'T81'!P1_flight_data_true_80</vt:lpstr>
      <vt:lpstr>'Leitura Dados de Vôo'!P1_flight_data_true_9</vt:lpstr>
      <vt:lpstr>'Leitura Dados de Vôo (2)'!P1_flight_data_true_9</vt:lpstr>
      <vt:lpstr>'T77 - 1'!P1_flight_data_true_9</vt:lpstr>
      <vt:lpstr>'T77 - 2'!P1_flight_data_true_9</vt:lpstr>
      <vt:lpstr>'T78 - 1'!P1_flight_data_true_9</vt:lpstr>
      <vt:lpstr>'T78 - 2'!P1_flight_data_true_9</vt:lpstr>
      <vt:lpstr>'T79 - 1'!P1_flight_data_true_9</vt:lpstr>
      <vt:lpstr>'T79 - 2'!P1_flight_data_true_9</vt:lpstr>
      <vt:lpstr>'T80'!P1_flight_data_true_9</vt:lpstr>
      <vt:lpstr>'T81'!P1_flight_data_true_9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DRAYCON</dc:creator>
  <cp:lastModifiedBy>DRAYCON</cp:lastModifiedBy>
  <dcterms:created xsi:type="dcterms:W3CDTF">2016-09-10T21:06:40Z</dcterms:created>
  <dcterms:modified xsi:type="dcterms:W3CDTF">2016-12-08T17:58:41Z</dcterms:modified>
</cp:coreProperties>
</file>