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Draycon\OneDrive\Altímetro\Altímetro_MONTAGEM\Leitor_MAU\"/>
    </mc:Choice>
  </mc:AlternateContent>
  <xr:revisionPtr revIDLastSave="0" documentId="10_ncr:8100000_{ADEAF737-C987-4938-97F2-4D2FA1FB470B}" xr6:coauthVersionLast="32" xr6:coauthVersionMax="32" xr10:uidLastSave="{00000000-0000-0000-0000-000000000000}"/>
  <bookViews>
    <workbookView xWindow="0" yWindow="120" windowWidth="15360" windowHeight="7635" activeTab="1" xr2:uid="{00000000-000D-0000-FFFF-FFFF00000000}"/>
  </bookViews>
  <sheets>
    <sheet name="Modelo Atmosférico" sheetId="31" r:id="rId1"/>
    <sheet name="Leitura Dados de Vôo" sheetId="65" r:id="rId2"/>
  </sheets>
  <definedNames>
    <definedName name="P1_flight_data_raw" localSheetId="1">'Leitura Dados de Vôo'!$C$8:$C$40</definedName>
    <definedName name="P1_flight_data_raw_1" localSheetId="1">'Leitura Dados de Vôo'!$C$8:$C$51</definedName>
    <definedName name="P1_flight_data_raw_100" localSheetId="1">'Leitura Dados de Vôo'!$C$8:$C$247</definedName>
    <definedName name="P1_flight_data_raw_101" localSheetId="1">'Leitura Dados de Vôo'!$C$8:$C$247</definedName>
    <definedName name="P1_flight_data_raw_23" localSheetId="1">'Leitura Dados de Vôo'!$C$8:$C$40</definedName>
    <definedName name="P1_flight_data_raw_3" localSheetId="1">'Leitura Dados de Vôo'!$C$8:$C$42</definedName>
    <definedName name="P1_flight_data_raw_38" localSheetId="1">'Leitura Dados de Vôo'!$C$8:$C$40</definedName>
    <definedName name="P1_flight_data_raw_4" localSheetId="1">'Leitura Dados de Vôo'!$C$8:$C$42</definedName>
    <definedName name="P1_flight_data_raw_40" localSheetId="1">'Leitura Dados de Vôo'!$C$8:$C$87</definedName>
    <definedName name="P1_flight_data_raw_41" localSheetId="1">'Leitura Dados de Vôo'!$C$8:$C$87</definedName>
    <definedName name="P1_flight_data_raw_43" localSheetId="1">'Leitura Dados de Vôo'!$C$8:$C$41</definedName>
    <definedName name="P1_flight_data_raw_49" localSheetId="1">'Leitura Dados de Vôo'!$C$8:$C$42</definedName>
    <definedName name="P1_flight_data_raw_50" localSheetId="1">'Leitura Dados de Vôo'!$C$8:$C$42</definedName>
    <definedName name="P1_flight_data_raw_54" localSheetId="1">'Leitura Dados de Vôo'!$C$8:$C$40</definedName>
    <definedName name="P1_flight_data_raw_55" localSheetId="1">'Leitura Dados de Vôo'!$C$8:$C$46</definedName>
    <definedName name="P1_flight_data_raw_56" localSheetId="1">'Leitura Dados de Vôo'!$C$8:$C$40</definedName>
    <definedName name="P1_flight_data_raw_58" localSheetId="1">'Leitura Dados de Vôo'!$C$8:$C$43</definedName>
    <definedName name="P1_flight_data_raw_64" localSheetId="1">'Leitura Dados de Vôo'!$C$8:$C$95</definedName>
    <definedName name="P1_flight_data_raw_65" localSheetId="1">'Leitura Dados de Vôo'!$C$8:$C$42</definedName>
    <definedName name="P1_flight_data_raw_66" localSheetId="1">'Leitura Dados de Vôo'!$C$8:$C$112</definedName>
    <definedName name="P1_flight_data_raw_67" localSheetId="1">'Leitura Dados de Vôo'!$C$8:$C$32</definedName>
    <definedName name="P1_flight_data_raw_68" localSheetId="1">'Leitura Dados de Vôo'!$C$8:$C$32</definedName>
    <definedName name="P1_flight_data_raw_69" localSheetId="1">'Leitura Dados de Vôo'!$C$8:$C$32</definedName>
    <definedName name="P1_flight_data_raw_70" localSheetId="1">'Leitura Dados de Vôo'!$C$8:$C$32</definedName>
    <definedName name="P1_flight_data_raw_71" localSheetId="1">'Leitura Dados de Vôo'!$C$8:$C$32</definedName>
    <definedName name="P1_flight_data_raw_72" localSheetId="1">'Leitura Dados de Vôo'!$C$8:$C$10</definedName>
    <definedName name="P1_flight_data_raw_73" localSheetId="1">'Leitura Dados de Vôo'!$C$8:$C$11</definedName>
    <definedName name="P1_flight_data_raw_74" localSheetId="1">'Leitura Dados de Vôo'!$C$8:$C$27</definedName>
    <definedName name="P1_flight_data_raw_75" localSheetId="1">'Leitura Dados de Vôo'!$C$8:$C$27</definedName>
    <definedName name="P1_flight_data_raw_76" localSheetId="1">'Leitura Dados de Vôo'!$C$8:$C$27</definedName>
    <definedName name="P1_flight_data_raw_79" localSheetId="1">'Leitura Dados de Vôo'!$C$8:$C$28</definedName>
    <definedName name="P1_flight_data_raw_8" localSheetId="1">'Leitura Dados de Vôo'!$C$8:$C$43</definedName>
    <definedName name="P1_flight_data_raw_80" localSheetId="1">'Leitura Dados de Vôo'!$C$8:$C$69</definedName>
    <definedName name="P1_flight_data_raw_81" localSheetId="1">'Leitura Dados de Vôo'!$C$8:$C$11</definedName>
    <definedName name="P1_flight_data_raw_82" localSheetId="1">'Leitura Dados de Vôo'!$C$8:$C$38</definedName>
    <definedName name="P1_flight_data_raw_83" localSheetId="1">'Leitura Dados de Vôo'!$C$8:$C$15</definedName>
    <definedName name="P1_flight_data_raw_84" localSheetId="1">'Leitura Dados de Vôo'!$C$8:$C$15</definedName>
    <definedName name="P1_flight_data_raw_85" localSheetId="1">'Leitura Dados de Vôo'!$C$8:$C$53</definedName>
    <definedName name="P1_flight_data_raw_86" localSheetId="1">'Leitura Dados de Vôo'!$C$8:$C$45</definedName>
    <definedName name="P1_flight_data_raw_87" localSheetId="1">'Leitura Dados de Vôo'!$C$8:$C$40</definedName>
    <definedName name="P1_flight_data_raw_88" localSheetId="1">'Leitura Dados de Vôo'!$C$8:$C$40</definedName>
    <definedName name="P1_flight_data_raw_89" localSheetId="1">'Leitura Dados de Vôo'!$C$8:$C$40</definedName>
    <definedName name="P1_flight_data_raw_90" localSheetId="1">'Leitura Dados de Vôo'!$C$8:$C$247</definedName>
    <definedName name="P1_flight_data_raw_91" localSheetId="1">'Leitura Dados de Vôo'!$C$8:$C$247</definedName>
    <definedName name="P1_flight_data_raw_92" localSheetId="1">'Leitura Dados de Vôo'!$C$8:$C$247</definedName>
    <definedName name="P1_flight_data_raw_93" localSheetId="1">'Leitura Dados de Vôo'!$C$8:$C$35</definedName>
    <definedName name="P1_flight_data_raw_94" localSheetId="1">'Leitura Dados de Vôo'!$C$8:$C$247</definedName>
    <definedName name="P1_flight_data_raw_95" localSheetId="1">'Leitura Dados de Vôo'!$C$8:$C$247</definedName>
    <definedName name="P1_flight_data_raw_96" localSheetId="1">'Leitura Dados de Vôo'!$C$8:$C$247</definedName>
    <definedName name="P1_flight_data_raw_97" localSheetId="1">'Leitura Dados de Vôo'!$C$8:$C$37</definedName>
    <definedName name="P1_flight_data_raw_98" localSheetId="1">'Leitura Dados de Vôo'!$C$8:$C$247</definedName>
    <definedName name="P1_flight_data_raw_99" localSheetId="1">'Leitura Dados de Vôo'!$C$8:$C$37</definedName>
    <definedName name="P1_flight_data_true" localSheetId="1">'Leitura Dados de Vôo'!$D$2:$D$95</definedName>
    <definedName name="P1_flight_data_true_1" localSheetId="1">'Leitura Dados de Vôo'!#REF!</definedName>
    <definedName name="P1_flight_data_true_10" localSheetId="1">'Leitura Dados de Vôo'!$D$2:$D$51</definedName>
    <definedName name="P1_flight_data_true_100" localSheetId="1">'Leitura Dados de Vôo'!$D$2:$D$40</definedName>
    <definedName name="P1_flight_data_true_101" localSheetId="1">'Leitura Dados de Vôo'!$D$2:$D$40</definedName>
    <definedName name="P1_flight_data_true_102" localSheetId="1">'Leitura Dados de Vôo'!$D$2:$D$247</definedName>
    <definedName name="P1_flight_data_true_103" localSheetId="1">'Leitura Dados de Vôo'!$D$2:$D$247</definedName>
    <definedName name="P1_flight_data_true_104" localSheetId="1">'Leitura Dados de Vôo'!$D$2:$D$247</definedName>
    <definedName name="P1_flight_data_true_105" localSheetId="1">'Leitura Dados de Vôo'!$D$2:$D$35</definedName>
    <definedName name="P1_flight_data_true_106" localSheetId="1">'Leitura Dados de Vôo'!$D$2:$D$247</definedName>
    <definedName name="P1_flight_data_true_107" localSheetId="1">'Leitura Dados de Vôo'!$D$2:$D$247</definedName>
    <definedName name="P1_flight_data_true_108" localSheetId="1">'Leitura Dados de Vôo'!$D$2:$D$247</definedName>
    <definedName name="P1_flight_data_true_109" localSheetId="1">'Leitura Dados de Vôo'!$D$2:$D$37</definedName>
    <definedName name="P1_flight_data_true_11" localSheetId="1">'Leitura Dados de Vôo'!$D$2:$D$51</definedName>
    <definedName name="P1_flight_data_true_110" localSheetId="1">'Leitura Dados de Vôo'!$D$2:$D$247</definedName>
    <definedName name="P1_flight_data_true_111" localSheetId="1">'Leitura Dados de Vôo'!$D$2:$D$37</definedName>
    <definedName name="P1_flight_data_true_112" localSheetId="1">'Leitura Dados de Vôo'!$D$2:$D$247</definedName>
    <definedName name="P1_flight_data_true_113" localSheetId="1">'Leitura Dados de Vôo'!$D$2:$D$247</definedName>
    <definedName name="P1_flight_data_true_12" localSheetId="1">'Leitura Dados de Vôo'!$D$2:$D$42</definedName>
    <definedName name="P1_flight_data_true_13" localSheetId="1">'Leitura Dados de Vôo'!$D$2:$D$42</definedName>
    <definedName name="P1_flight_data_true_14" localSheetId="1">'Leitura Dados de Vôo'!$D$2:$D$38</definedName>
    <definedName name="P1_flight_data_true_15" localSheetId="1">'Leitura Dados de Vôo'!$D$2:$D$39</definedName>
    <definedName name="P1_flight_data_true_16" localSheetId="1">'Leitura Dados de Vôo'!$D$2:$D$39</definedName>
    <definedName name="P1_flight_data_true_17" localSheetId="1">'Leitura Dados de Vôo'!$D$2:$D$44</definedName>
    <definedName name="P1_flight_data_true_18" localSheetId="1">'Leitura Dados de Vôo'!$D$2:$D$41</definedName>
    <definedName name="P1_flight_data_true_19" localSheetId="1">'Leitura Dados de Vôo'!$D$2:$D$37</definedName>
    <definedName name="P1_flight_data_true_2" localSheetId="1">'Leitura Dados de Vôo'!$D$2:$D$95</definedName>
    <definedName name="P1_flight_data_true_20" localSheetId="1">'Leitura Dados de Vôo'!$D$2:$D$37</definedName>
    <definedName name="P1_flight_data_true_21" localSheetId="1">'Leitura Dados de Vôo'!$D$2:$D$38</definedName>
    <definedName name="P1_flight_data_true_22" localSheetId="1">'Leitura Dados de Vôo'!$D$2:$D$38</definedName>
    <definedName name="P1_flight_data_true_23" localSheetId="1">'Leitura Dados de Vôo'!$D$2:$D$36</definedName>
    <definedName name="P1_flight_data_true_24" localSheetId="1">'Leitura Dados de Vôo'!$D$2:$D$37</definedName>
    <definedName name="P1_flight_data_true_25" localSheetId="1">'Leitura Dados de Vôo'!$D$2:$D$36</definedName>
    <definedName name="P1_flight_data_true_26" localSheetId="1">'Leitura Dados de Vôo'!$D$2:$D$35</definedName>
    <definedName name="P1_flight_data_true_27" localSheetId="1">'Leitura Dados de Vôo'!$D$2:$D$35</definedName>
    <definedName name="P1_flight_data_true_28" localSheetId="1">'Leitura Dados de Vôo'!$D$2:$D$35</definedName>
    <definedName name="P1_flight_data_true_29" localSheetId="1">'Leitura Dados de Vôo'!$D$2:$D$36</definedName>
    <definedName name="P1_flight_data_true_3" localSheetId="1">'Leitura Dados de Vôo'!$D$2:$D$95</definedName>
    <definedName name="P1_flight_data_true_30" localSheetId="1">'Leitura Dados de Vôo'!$D$2:$D$34</definedName>
    <definedName name="P1_flight_data_true_31" localSheetId="1">'Leitura Dados de Vôo'!$D$2:$D$35</definedName>
    <definedName name="P1_flight_data_true_32" localSheetId="1">'Leitura Dados de Vôo'!$D$2:$D$35</definedName>
    <definedName name="P1_flight_data_true_33" localSheetId="1">'Leitura Dados de Vôo'!$D$2:$D$41</definedName>
    <definedName name="P1_flight_data_true_34" localSheetId="1">'Leitura Dados de Vôo'!$D$2:$D$35</definedName>
    <definedName name="P1_flight_data_true_35" localSheetId="1">'Leitura Dados de Vôo'!$D$2:$D$39</definedName>
    <definedName name="P1_flight_data_true_36" localSheetId="1">'Leitura Dados de Vôo'!$D$2:$D$39</definedName>
    <definedName name="P1_flight_data_true_37" localSheetId="1">'Leitura Dados de Vôo'!$D$2:$D$37</definedName>
    <definedName name="P1_flight_data_true_38" localSheetId="1">'Leitura Dados de Vôo'!$D$2:$D$39</definedName>
    <definedName name="P1_flight_data_true_39" localSheetId="1">'Leitura Dados de Vôo'!$D$2:$D$36</definedName>
    <definedName name="P1_flight_data_true_4" localSheetId="1">'Leitura Dados de Vôo'!$D$2:$D$50</definedName>
    <definedName name="P1_flight_data_true_40" localSheetId="1">'Leitura Dados de Vôo'!$D$2:$D$38</definedName>
    <definedName name="P1_flight_data_true_41" localSheetId="1">'Leitura Dados de Vôo'!$D$2:$D$10</definedName>
    <definedName name="P1_flight_data_true_42" localSheetId="1">'Leitura Dados de Vôo'!$D$2:$D$10</definedName>
    <definedName name="P1_flight_data_true_43" localSheetId="1">'Leitura Dados de Vôo'!$D$2:$D$10</definedName>
    <definedName name="P1_flight_data_true_44" localSheetId="1">'Leitura Dados de Vôo'!$D$2:$D$10</definedName>
    <definedName name="P1_flight_data_true_45" localSheetId="1">'Leitura Dados de Vôo'!$D$2:$D$10</definedName>
    <definedName name="P1_flight_data_true_46" localSheetId="1">'Leitura Dados de Vôo'!$D$2:$D$10</definedName>
    <definedName name="P1_flight_data_true_47" localSheetId="1">'Leitura Dados de Vôo'!$D$2:$D$39</definedName>
    <definedName name="P1_flight_data_true_48" localSheetId="1">'Leitura Dados de Vôo'!$D$2:$D$41</definedName>
    <definedName name="P1_flight_data_true_49" localSheetId="1">'Leitura Dados de Vôo'!$D$2:$D$10</definedName>
    <definedName name="P1_flight_data_true_5" localSheetId="1">'Leitura Dados de Vôo'!$D$2:$D$50</definedName>
    <definedName name="P1_flight_data_true_50" localSheetId="1">'Leitura Dados de Vôo'!$D$2:$D$88</definedName>
    <definedName name="P1_flight_data_true_51" localSheetId="1">'Leitura Dados de Vôo'!$D$2:$D$88</definedName>
    <definedName name="P1_flight_data_true_52" localSheetId="1">'Leitura Dados de Vôo'!$D$2:$D$35</definedName>
    <definedName name="P1_flight_data_true_53" localSheetId="1">'Leitura Dados de Vôo'!$D$2:$D$42</definedName>
    <definedName name="P1_flight_data_true_54" localSheetId="1">'Leitura Dados de Vôo'!$D$2:$D$38</definedName>
    <definedName name="P1_flight_data_true_55" localSheetId="1">'Leitura Dados de Vôo'!$D$2:$D$37</definedName>
    <definedName name="P1_flight_data_true_56" localSheetId="1">'Leitura Dados de Vôo'!$D$2:$D$39</definedName>
    <definedName name="P1_flight_data_true_57" localSheetId="1">'Leitura Dados de Vôo'!$D$2:$D$39</definedName>
    <definedName name="P1_flight_data_true_58" localSheetId="1">'Leitura Dados de Vôo'!$D$2:$D$39</definedName>
    <definedName name="P1_flight_data_true_59" localSheetId="1">'Leitura Dados de Vôo'!$D$2:$D$42</definedName>
    <definedName name="P1_flight_data_true_6" localSheetId="1">'Leitura Dados de Vôo'!$D$2:$D$50</definedName>
    <definedName name="P1_flight_data_true_60" localSheetId="1">'Leitura Dados de Vôo'!$D$2:$D$42</definedName>
    <definedName name="P1_flight_data_true_61" localSheetId="1">'Leitura Dados de Vôo'!$D$2:$D$37</definedName>
    <definedName name="P1_flight_data_true_62" localSheetId="1">'Leitura Dados de Vôo'!$D$2:$D$37</definedName>
    <definedName name="P1_flight_data_true_63" localSheetId="1">'Leitura Dados de Vôo'!$D$2:$D$37</definedName>
    <definedName name="P1_flight_data_true_64" localSheetId="1">'Leitura Dados de Vôo'!$D$2:$D$40</definedName>
    <definedName name="P1_flight_data_true_65" localSheetId="1">'Leitura Dados de Vôo'!$D$2:$D$46</definedName>
    <definedName name="P1_flight_data_true_66" localSheetId="1">'Leitura Dados de Vôo'!$D$2:$D$40</definedName>
    <definedName name="P1_flight_data_true_67" localSheetId="1">'Leitura Dados de Vôo'!$D$2:$D$39</definedName>
    <definedName name="P1_flight_data_true_68" localSheetId="1">'Leitura Dados de Vôo'!$D$2:$D$43</definedName>
    <definedName name="P1_flight_data_true_69" localSheetId="1">'Leitura Dados de Vôo'!$D$2:$D$39</definedName>
    <definedName name="P1_flight_data_true_7" localSheetId="1">'Leitura Dados de Vôo'!#REF!</definedName>
    <definedName name="P1_flight_data_true_70" localSheetId="1">'Leitura Dados de Vôo'!$D$2:$D$38</definedName>
    <definedName name="P1_flight_data_true_71" localSheetId="1">'Leitura Dados de Vôo'!$D$2:$D$38</definedName>
    <definedName name="P1_flight_data_true_72" localSheetId="1">'Leitura Dados de Vôo'!$D$2:$D$37</definedName>
    <definedName name="P1_flight_data_true_73" localSheetId="1">'Leitura Dados de Vôo'!$D$2:$D$36</definedName>
    <definedName name="P1_flight_data_true_74" localSheetId="1">'Leitura Dados de Vôo'!$D$2:$D$95</definedName>
    <definedName name="P1_flight_data_true_75" localSheetId="1">'Leitura Dados de Vôo'!$D$2:$D$42</definedName>
    <definedName name="P1_flight_data_true_76" localSheetId="1">'Leitura Dados de Vôo'!$D$2:$D$112</definedName>
    <definedName name="P1_flight_data_true_77" localSheetId="1">'Leitura Dados de Vôo'!$D$2:$D$38</definedName>
    <definedName name="P1_flight_data_true_78" localSheetId="1">'Leitura Dados de Vôo'!$D$2:$D$39</definedName>
    <definedName name="P1_flight_data_true_79" localSheetId="1">'Leitura Dados de Vôo'!$D$2:$D$39</definedName>
    <definedName name="P1_flight_data_true_8" localSheetId="1">'Leitura Dados de Vôo'!$D$2:$D$50</definedName>
    <definedName name="P1_flight_data_true_80" localSheetId="1">'Leitura Dados de Vôo'!$D$2:$D$39</definedName>
    <definedName name="P1_flight_data_true_81" localSheetId="1">'Leitura Dados de Vôo'!$D$2:$D$32</definedName>
    <definedName name="P1_flight_data_true_82" localSheetId="1">'Leitura Dados de Vôo'!$D$2:$D$32</definedName>
    <definedName name="P1_flight_data_true_83" localSheetId="1">'Leitura Dados de Vôo'!$D$2:$D$32</definedName>
    <definedName name="P1_flight_data_true_84" localSheetId="1">'Leitura Dados de Vôo'!$D$2:$D$32</definedName>
    <definedName name="P1_flight_data_true_85" localSheetId="1">'Leitura Dados de Vôo'!$D$2:$D$32</definedName>
    <definedName name="P1_flight_data_true_86" localSheetId="1">'Leitura Dados de Vôo'!$D$2:$D$10</definedName>
    <definedName name="P1_flight_data_true_87" localSheetId="1">'Leitura Dados de Vôo'!$D$2:$D$11</definedName>
    <definedName name="P1_flight_data_true_88" localSheetId="1">'Leitura Dados de Vôo'!$D$2:$D$27</definedName>
    <definedName name="P1_flight_data_true_89" localSheetId="1">'Leitura Dados de Vôo'!$D$2:$D$27</definedName>
    <definedName name="P1_flight_data_true_9" localSheetId="1">'Leitura Dados de Vôo'!$D$2:$D$51</definedName>
    <definedName name="P1_flight_data_true_90" localSheetId="1">'Leitura Dados de Vôo'!$D$2:$D$27</definedName>
    <definedName name="P1_flight_data_true_91" localSheetId="1">'Leitura Dados de Vôo'!$D$2:$D$28</definedName>
    <definedName name="P1_flight_data_true_92" localSheetId="1">'Leitura Dados de Vôo'!$D$2:$D$69</definedName>
    <definedName name="P1_flight_data_true_93" localSheetId="1">'Leitura Dados de Vôo'!$D$2:$D$11</definedName>
    <definedName name="P1_flight_data_true_94" localSheetId="1">'Leitura Dados de Vôo'!$D$2:$D$38</definedName>
    <definedName name="P1_flight_data_true_95" localSheetId="1">'Leitura Dados de Vôo'!$D$2:$D$15</definedName>
    <definedName name="P1_flight_data_true_96" localSheetId="1">'Leitura Dados de Vôo'!$D$2:$D$15</definedName>
    <definedName name="P1_flight_data_true_97" localSheetId="1">'Leitura Dados de Vôo'!$D$2:$D$53</definedName>
    <definedName name="P1_flight_data_true_98" localSheetId="1">'Leitura Dados de Vôo'!$D$2:$D$45</definedName>
    <definedName name="P1_flight_data_true_99" localSheetId="1">'Leitura Dados de Vôo'!$D$2:$D$40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31" l="1"/>
  <c r="D3" i="31" l="1"/>
  <c r="F248" i="65" l="1"/>
  <c r="E248" i="65"/>
  <c r="E247" i="65"/>
  <c r="E246" i="65"/>
  <c r="E245" i="65"/>
  <c r="E244" i="65"/>
  <c r="E243" i="65"/>
  <c r="E242" i="65"/>
  <c r="E241" i="65"/>
  <c r="E240" i="65"/>
  <c r="E239" i="65"/>
  <c r="E238" i="65"/>
  <c r="E237" i="65"/>
  <c r="E236" i="65"/>
  <c r="E235" i="65"/>
  <c r="E234" i="65"/>
  <c r="E233" i="65"/>
  <c r="E232" i="65"/>
  <c r="E231" i="65"/>
  <c r="E230" i="65"/>
  <c r="E229" i="65"/>
  <c r="E228" i="65"/>
  <c r="E227" i="65"/>
  <c r="E226" i="65"/>
  <c r="E225" i="65"/>
  <c r="E224" i="65"/>
  <c r="E223" i="65"/>
  <c r="E222" i="65"/>
  <c r="E221" i="65"/>
  <c r="E220" i="65"/>
  <c r="E219" i="65"/>
  <c r="E218" i="65"/>
  <c r="E217" i="65"/>
  <c r="E216" i="65"/>
  <c r="E215" i="65"/>
  <c r="E214" i="65"/>
  <c r="E213" i="65"/>
  <c r="E212" i="65"/>
  <c r="E211" i="65"/>
  <c r="E210" i="65"/>
  <c r="E209" i="65"/>
  <c r="E208" i="65"/>
  <c r="E207" i="65"/>
  <c r="E206" i="65"/>
  <c r="E205" i="65"/>
  <c r="E204" i="65"/>
  <c r="E203" i="65"/>
  <c r="E202" i="65"/>
  <c r="E201" i="65"/>
  <c r="E200" i="65"/>
  <c r="E199" i="65"/>
  <c r="E198" i="65"/>
  <c r="E197" i="65"/>
  <c r="E196" i="65"/>
  <c r="E195" i="65"/>
  <c r="E194" i="65"/>
  <c r="E193" i="65"/>
  <c r="E192" i="65"/>
  <c r="E191" i="65"/>
  <c r="E190" i="65"/>
  <c r="E189" i="65"/>
  <c r="E188" i="65"/>
  <c r="E187" i="65"/>
  <c r="E186" i="65"/>
  <c r="E185" i="65"/>
  <c r="E184" i="65"/>
  <c r="E183" i="65"/>
  <c r="E182" i="65"/>
  <c r="E181" i="65"/>
  <c r="E180" i="65"/>
  <c r="E179" i="65"/>
  <c r="E178" i="65"/>
  <c r="E177" i="65"/>
  <c r="E176" i="65"/>
  <c r="E175" i="65"/>
  <c r="E174" i="65"/>
  <c r="E173" i="65"/>
  <c r="E172" i="65"/>
  <c r="E171" i="65"/>
  <c r="E170" i="65"/>
  <c r="E169" i="65"/>
  <c r="E168" i="65"/>
  <c r="E167" i="65"/>
  <c r="E166" i="65"/>
  <c r="E165" i="65"/>
  <c r="E164" i="65"/>
  <c r="E163" i="65"/>
  <c r="E162" i="65"/>
  <c r="E161" i="65"/>
  <c r="E160" i="65"/>
  <c r="E159" i="65"/>
  <c r="E158" i="65"/>
  <c r="E157" i="65"/>
  <c r="E156" i="65"/>
  <c r="E155" i="65"/>
  <c r="E154" i="65"/>
  <c r="E153" i="65"/>
  <c r="E152" i="65"/>
  <c r="E151" i="65"/>
  <c r="E150" i="65"/>
  <c r="E149" i="65"/>
  <c r="E148" i="65"/>
  <c r="E147" i="65"/>
  <c r="E146" i="65"/>
  <c r="E145" i="65"/>
  <c r="E144" i="65"/>
  <c r="E143" i="65"/>
  <c r="E142" i="65"/>
  <c r="E141" i="65"/>
  <c r="E140" i="65"/>
  <c r="E139" i="65"/>
  <c r="E138" i="65"/>
  <c r="E137" i="65"/>
  <c r="E136" i="65"/>
  <c r="E135" i="65"/>
  <c r="E134" i="65"/>
  <c r="E133" i="65"/>
  <c r="E132" i="65"/>
  <c r="E131" i="65"/>
  <c r="E130" i="65"/>
  <c r="E129" i="65"/>
  <c r="E128" i="65"/>
  <c r="E127" i="65"/>
  <c r="E126" i="65"/>
  <c r="E125" i="65"/>
  <c r="E124" i="65"/>
  <c r="E123" i="65"/>
  <c r="E122" i="65"/>
  <c r="E121" i="65"/>
  <c r="E120" i="65"/>
  <c r="E119" i="65"/>
  <c r="E118" i="65"/>
  <c r="E117" i="65"/>
  <c r="E116" i="65"/>
  <c r="E115" i="65"/>
  <c r="E114" i="65"/>
  <c r="E113" i="65"/>
  <c r="E112" i="65"/>
  <c r="E111" i="65"/>
  <c r="E110" i="65"/>
  <c r="E109" i="65"/>
  <c r="E108" i="65"/>
  <c r="E107" i="65"/>
  <c r="E106" i="65"/>
  <c r="E105" i="65"/>
  <c r="E104" i="65"/>
  <c r="E103" i="65"/>
  <c r="E102" i="65"/>
  <c r="E101" i="65"/>
  <c r="E100" i="65"/>
  <c r="E99" i="65"/>
  <c r="E98" i="65"/>
  <c r="E97" i="65"/>
  <c r="E96" i="65"/>
  <c r="E95" i="65"/>
  <c r="E94" i="65"/>
  <c r="E93" i="65"/>
  <c r="E92" i="65"/>
  <c r="E91" i="65"/>
  <c r="E90" i="65"/>
  <c r="E89" i="65"/>
  <c r="E88" i="65"/>
  <c r="E87" i="65"/>
  <c r="E86" i="65"/>
  <c r="E85" i="65"/>
  <c r="E84" i="65"/>
  <c r="E83" i="65"/>
  <c r="E82" i="65"/>
  <c r="E81" i="65"/>
  <c r="E80" i="65"/>
  <c r="E79" i="65"/>
  <c r="E78" i="65"/>
  <c r="E77" i="65"/>
  <c r="E76" i="65"/>
  <c r="E75" i="65"/>
  <c r="E74" i="65"/>
  <c r="E73" i="65"/>
  <c r="E72" i="65"/>
  <c r="E71" i="65"/>
  <c r="E70" i="65"/>
  <c r="E69" i="65"/>
  <c r="E68" i="65"/>
  <c r="E67" i="65"/>
  <c r="E66" i="65"/>
  <c r="E65" i="65"/>
  <c r="E64" i="65"/>
  <c r="E63" i="65"/>
  <c r="E62" i="65"/>
  <c r="E61" i="65"/>
  <c r="E60" i="65"/>
  <c r="E59" i="65"/>
  <c r="E58" i="65"/>
  <c r="E57" i="65"/>
  <c r="E56" i="65"/>
  <c r="E55" i="65"/>
  <c r="E54" i="65"/>
  <c r="E53" i="65"/>
  <c r="E52" i="65"/>
  <c r="B9" i="31" l="1"/>
  <c r="E50" i="65" l="1"/>
  <c r="E42" i="65"/>
  <c r="E34" i="65"/>
  <c r="E26" i="65"/>
  <c r="E18" i="65"/>
  <c r="E10" i="65"/>
  <c r="E41" i="65"/>
  <c r="E25" i="65"/>
  <c r="E17" i="65"/>
  <c r="E40" i="65"/>
  <c r="E16" i="65"/>
  <c r="E47" i="65"/>
  <c r="E15" i="65"/>
  <c r="E30" i="65"/>
  <c r="E45" i="65"/>
  <c r="E35" i="65"/>
  <c r="E49" i="65"/>
  <c r="E33" i="65"/>
  <c r="E9" i="65"/>
  <c r="E48" i="65"/>
  <c r="E24" i="65"/>
  <c r="E8" i="65"/>
  <c r="E39" i="65"/>
  <c r="E22" i="65"/>
  <c r="E21" i="65"/>
  <c r="E32" i="65"/>
  <c r="E23" i="65"/>
  <c r="E14" i="65"/>
  <c r="E12" i="65"/>
  <c r="E43" i="65"/>
  <c r="E19" i="65"/>
  <c r="E31" i="65"/>
  <c r="E38" i="65"/>
  <c r="E37" i="65"/>
  <c r="E46" i="65"/>
  <c r="E29" i="65"/>
  <c r="E27" i="65"/>
  <c r="E13" i="65"/>
  <c r="E44" i="65"/>
  <c r="E36" i="65"/>
  <c r="E28" i="65"/>
  <c r="E20" i="65"/>
  <c r="E51" i="65"/>
  <c r="E11" i="65"/>
  <c r="E3" i="65"/>
  <c r="E4" i="65"/>
  <c r="B7" i="31"/>
  <c r="F244" i="65" l="1"/>
  <c r="F240" i="65"/>
  <c r="F236" i="65"/>
  <c r="F232" i="65"/>
  <c r="F228" i="65"/>
  <c r="F224" i="65"/>
  <c r="F220" i="65"/>
  <c r="F216" i="65"/>
  <c r="F212" i="65"/>
  <c r="F208" i="65"/>
  <c r="F204" i="65"/>
  <c r="F200" i="65"/>
  <c r="F196" i="65"/>
  <c r="F108" i="65"/>
  <c r="F141" i="65"/>
  <c r="F110" i="65"/>
  <c r="F238" i="65"/>
  <c r="F215" i="65"/>
  <c r="F184" i="65"/>
  <c r="F209" i="65"/>
  <c r="F154" i="65"/>
  <c r="F218" i="65"/>
  <c r="F164" i="65"/>
  <c r="F197" i="65"/>
  <c r="F182" i="65"/>
  <c r="F159" i="65"/>
  <c r="F128" i="65"/>
  <c r="F163" i="65"/>
  <c r="F126" i="65"/>
  <c r="F97" i="65"/>
  <c r="F226" i="65"/>
  <c r="F198" i="65"/>
  <c r="F169" i="65"/>
  <c r="F235" i="65"/>
  <c r="F142" i="65"/>
  <c r="F247" i="65"/>
  <c r="F170" i="65"/>
  <c r="F101" i="65"/>
  <c r="F191" i="65"/>
  <c r="F115" i="65"/>
  <c r="F221" i="65"/>
  <c r="F161" i="65"/>
  <c r="F194" i="65"/>
  <c r="F111" i="65"/>
  <c r="F139" i="65"/>
  <c r="F156" i="65"/>
  <c r="F189" i="65"/>
  <c r="F158" i="65"/>
  <c r="F135" i="65"/>
  <c r="F104" i="65"/>
  <c r="F129" i="65"/>
  <c r="F114" i="65"/>
  <c r="F178" i="65"/>
  <c r="F242" i="65"/>
  <c r="F117" i="65"/>
  <c r="F245" i="65"/>
  <c r="F230" i="65"/>
  <c r="F207" i="65"/>
  <c r="F176" i="65"/>
  <c r="F201" i="65"/>
  <c r="F123" i="65"/>
  <c r="F187" i="65"/>
  <c r="F172" i="65"/>
  <c r="F205" i="65"/>
  <c r="F174" i="65"/>
  <c r="F151" i="65"/>
  <c r="F120" i="65"/>
  <c r="F145" i="65"/>
  <c r="F122" i="65"/>
  <c r="F186" i="65"/>
  <c r="F100" i="65"/>
  <c r="F133" i="65"/>
  <c r="F118" i="65"/>
  <c r="F246" i="65"/>
  <c r="F223" i="65"/>
  <c r="F192" i="65"/>
  <c r="F217" i="65"/>
  <c r="F131" i="65"/>
  <c r="F195" i="65"/>
  <c r="F188" i="65"/>
  <c r="F136" i="65"/>
  <c r="F130" i="65"/>
  <c r="F134" i="65"/>
  <c r="F241" i="65"/>
  <c r="F109" i="65"/>
  <c r="F237" i="65"/>
  <c r="F206" i="65"/>
  <c r="F183" i="65"/>
  <c r="F152" i="65"/>
  <c r="F177" i="65"/>
  <c r="F138" i="65"/>
  <c r="F202" i="65"/>
  <c r="F132" i="65"/>
  <c r="F165" i="65"/>
  <c r="F150" i="65"/>
  <c r="F127" i="65"/>
  <c r="F96" i="65"/>
  <c r="F121" i="65"/>
  <c r="F98" i="65"/>
  <c r="F147" i="65"/>
  <c r="F211" i="65"/>
  <c r="F99" i="65"/>
  <c r="F227" i="65"/>
  <c r="F157" i="65"/>
  <c r="F103" i="65"/>
  <c r="F225" i="65"/>
  <c r="F180" i="65"/>
  <c r="F175" i="65"/>
  <c r="F107" i="65"/>
  <c r="F140" i="65"/>
  <c r="F113" i="65"/>
  <c r="F234" i="65"/>
  <c r="F214" i="65"/>
  <c r="F185" i="65"/>
  <c r="F243" i="65"/>
  <c r="F190" i="65"/>
  <c r="F149" i="65"/>
  <c r="F105" i="65"/>
  <c r="F125" i="65"/>
  <c r="F102" i="65"/>
  <c r="F222" i="65"/>
  <c r="F199" i="65"/>
  <c r="F168" i="65"/>
  <c r="F193" i="65"/>
  <c r="F146" i="65"/>
  <c r="F210" i="65"/>
  <c r="F148" i="65"/>
  <c r="F181" i="65"/>
  <c r="F166" i="65"/>
  <c r="F143" i="65"/>
  <c r="F112" i="65"/>
  <c r="F137" i="65"/>
  <c r="F106" i="65"/>
  <c r="F155" i="65"/>
  <c r="F219" i="65"/>
  <c r="F153" i="65"/>
  <c r="F124" i="65"/>
  <c r="F231" i="65"/>
  <c r="F162" i="65"/>
  <c r="F213" i="65"/>
  <c r="F144" i="65"/>
  <c r="F171" i="65"/>
  <c r="F173" i="65"/>
  <c r="F119" i="65"/>
  <c r="F233" i="65"/>
  <c r="F229" i="65"/>
  <c r="F160" i="65"/>
  <c r="F179" i="65"/>
  <c r="F167" i="65"/>
  <c r="F116" i="65"/>
  <c r="F239" i="65"/>
  <c r="F203" i="65"/>
  <c r="F92" i="65"/>
  <c r="F89" i="65"/>
  <c r="F93" i="65"/>
  <c r="F95" i="65"/>
  <c r="F90" i="65"/>
  <c r="F94" i="65"/>
  <c r="F91" i="65"/>
  <c r="F84" i="65"/>
  <c r="F56" i="65"/>
  <c r="F61" i="65"/>
  <c r="F88" i="65"/>
  <c r="F78" i="65"/>
  <c r="F55" i="65"/>
  <c r="F64" i="65"/>
  <c r="F60" i="65"/>
  <c r="F63" i="65"/>
  <c r="F58" i="65"/>
  <c r="F74" i="65"/>
  <c r="F62" i="65"/>
  <c r="F87" i="65"/>
  <c r="F67" i="65"/>
  <c r="F76" i="65"/>
  <c r="F86" i="65"/>
  <c r="F65" i="65"/>
  <c r="F53" i="65"/>
  <c r="F70" i="65"/>
  <c r="F85" i="65"/>
  <c r="F72" i="65"/>
  <c r="F52" i="65"/>
  <c r="F75" i="65"/>
  <c r="F81" i="65"/>
  <c r="F71" i="65"/>
  <c r="F54" i="65"/>
  <c r="F66" i="65"/>
  <c r="F82" i="65"/>
  <c r="F69" i="65"/>
  <c r="F68" i="65"/>
  <c r="F83" i="65"/>
  <c r="F80" i="65"/>
  <c r="F79" i="65"/>
  <c r="F73" i="65"/>
  <c r="F59" i="65"/>
  <c r="F77" i="65"/>
  <c r="F57" i="65"/>
  <c r="F51" i="65"/>
  <c r="F21" i="65"/>
  <c r="F41" i="65"/>
  <c r="F49" i="65"/>
  <c r="F17" i="65"/>
  <c r="F35" i="65"/>
  <c r="F40" i="65"/>
  <c r="F48" i="65"/>
  <c r="F29" i="65"/>
  <c r="F47" i="65"/>
  <c r="F12" i="65"/>
  <c r="F42" i="65"/>
  <c r="F39" i="65"/>
  <c r="F33" i="65"/>
  <c r="F25" i="65"/>
  <c r="F19" i="65"/>
  <c r="F46" i="65"/>
  <c r="F50" i="65"/>
  <c r="F43" i="65"/>
  <c r="F23" i="65"/>
  <c r="F8" i="65"/>
  <c r="F11" i="65"/>
  <c r="F26" i="65"/>
  <c r="F13" i="65"/>
  <c r="F10" i="65"/>
  <c r="F18" i="65"/>
  <c r="F16" i="65"/>
  <c r="F30" i="65"/>
  <c r="F24" i="65"/>
  <c r="F20" i="65"/>
  <c r="F22" i="65"/>
  <c r="F15" i="65"/>
  <c r="F45" i="65"/>
  <c r="F37" i="65"/>
  <c r="F31" i="65"/>
  <c r="F27" i="65"/>
  <c r="F28" i="65"/>
  <c r="F14" i="65"/>
  <c r="F9" i="65"/>
  <c r="F38" i="65"/>
  <c r="F34" i="65"/>
  <c r="F32" i="65"/>
  <c r="F36" i="65"/>
  <c r="F44" i="65"/>
  <c r="F4" i="6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flight_data_raw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" xr16:uid="{00000000-0015-0000-FFFF-FFFF01000000}" name="flight_data_raw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" xr16:uid="{00000000-0015-0000-FFFF-FFFF02000000}" name="flight_data_raw10" type="6" refreshedVersion="6" background="1" saveData="1">
    <textPr prompt="0" codePage="437" sourceFile="C:\Leitor_MAU\flight_data_raw.txt" tab="0">
      <textFields>
        <textField/>
      </textFields>
    </textPr>
  </connection>
  <connection id="4" xr16:uid="{00000000-0015-0000-FFFF-FFFF03000000}" name="flight_data_raw11" type="6" refreshedVersion="6" background="1" saveData="1">
    <textPr prompt="0" codePage="437" sourceFile="C:\Leitor_MAU\flight_data_raw.txt" tab="0">
      <textFields>
        <textField/>
      </textFields>
    </textPr>
  </connection>
  <connection id="5" xr16:uid="{00000000-0015-0000-FFFF-FFFF04000000}" name="flight_data_raw12" type="6" refreshedVersion="6" background="1" saveData="1">
    <textPr prompt="0" codePage="437" sourceFile="C:\Leitor_MAU\flight_data_raw.txt" tab="0">
      <textFields>
        <textField/>
      </textFields>
    </textPr>
  </connection>
  <connection id="6" xr16:uid="{00000000-0015-0000-FFFF-FFFF05000000}" name="flight_data_raw13" type="6" refreshedVersion="6" background="1" saveData="1">
    <textPr prompt="0" codePage="437" sourceFile="C:\Leitor_MAU\flight_data_raw.txt" tab="0">
      <textFields>
        <textField/>
      </textFields>
    </textPr>
  </connection>
  <connection id="7" xr16:uid="{00000000-0015-0000-FFFF-FFFF06000000}" name="flight_data_raw14" type="6" refreshedVersion="6" background="1" saveData="1">
    <textPr prompt="0" codePage="437" sourceFile="C:\Leitor_MAU\flight_data_raw.txt" tab="0">
      <textFields>
        <textField/>
      </textFields>
    </textPr>
  </connection>
  <connection id="8" xr16:uid="{00000000-0015-0000-FFFF-FFFF07000000}" name="flight_data_raw15" type="6" refreshedVersion="6" background="1" saveData="1">
    <textPr prompt="0" codePage="437" sourceFile="C:\Leitor_MAU\flight_data_raw.txt" tab="0">
      <textFields>
        <textField/>
      </textFields>
    </textPr>
  </connection>
  <connection id="9" xr16:uid="{00000000-0015-0000-FFFF-FFFF08000000}" name="flight_data_raw16" type="6" refreshedVersion="6" background="1" saveData="1">
    <textPr prompt="0" codePage="437" sourceFile="C:\Leitor_MAU\flight_data_raw.txt" tab="0" delimiter="_">
      <textFields>
        <textField/>
      </textFields>
    </textPr>
  </connection>
  <connection id="10" xr16:uid="{00000000-0015-0000-FFFF-FFFF09000000}" name="flight_data_raw17" type="6" refreshedVersion="6" background="1" saveData="1">
    <textPr prompt="0" codePage="437" sourceFile="C:\Leitor_MAU\flight_data_raw.txt" tab="0">
      <textFields>
        <textField/>
      </textFields>
    </textPr>
  </connection>
  <connection id="11" xr16:uid="{00000000-0015-0000-FFFF-FFFF0A000000}" name="flight_data_raw18" type="6" refreshedVersion="6" background="1" saveData="1">
    <textPr prompt="0" codePage="437" sourceFile="C:\Leitor_MAU\flight_data_raw.txt" tab="0">
      <textFields>
        <textField/>
      </textFields>
    </textPr>
  </connection>
  <connection id="12" xr16:uid="{00000000-0015-0000-FFFF-FFFF0B000000}" name="flight_data_raw19" type="6" refreshedVersion="6" background="1" saveData="1">
    <textPr prompt="0" codePage="437" sourceFile="C:\Leitor_MAU\flight_data_raw.txt" tab="0">
      <textFields>
        <textField/>
      </textFields>
    </textPr>
  </connection>
  <connection id="13" xr16:uid="{00000000-0015-0000-FFFF-FFFF0C000000}" name="flight_data_raw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4" xr16:uid="{00000000-0015-0000-FFFF-FFFF0D000000}" name="flight_data_raw20" type="6" refreshedVersion="6" background="1" saveData="1">
    <textPr prompt="0" codePage="437" sourceFile="C:\Leitor_MAU\flight_data_raw.txt" tab="0">
      <textFields>
        <textField/>
      </textFields>
    </textPr>
  </connection>
  <connection id="15" xr16:uid="{00000000-0015-0000-FFFF-FFFF0E000000}" name="flight_data_raw21" type="6" refreshedVersion="6" background="1" saveData="1">
    <textPr prompt="0" codePage="437" sourceFile="C:\Leitor_MAU\flight_data_raw.txt" tab="0">
      <textFields>
        <textField/>
      </textFields>
    </textPr>
  </connection>
  <connection id="16" xr16:uid="{00000000-0015-0000-FFFF-FFFF0F000000}" name="flight_data_raw2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7" xr16:uid="{00000000-0015-0000-FFFF-FFFF10000000}" name="flight_data_raw23" type="6" refreshedVersion="6" background="1" saveData="1">
    <textPr prompt="0" codePage="437" sourceFile="C:\Leitor_MAU\flight_data_raw.txt" tab="0">
      <textFields>
        <textField/>
      </textFields>
    </textPr>
  </connection>
  <connection id="18" xr16:uid="{00000000-0015-0000-FFFF-FFFF11000000}" name="flight_data_raw24" type="6" refreshedVersion="6" background="1" saveData="1">
    <textPr prompt="0" codePage="437" sourceFile="C:\Leitor_MAU\flight_data_raw.txt" tab="0">
      <textFields>
        <textField/>
      </textFields>
    </textPr>
  </connection>
  <connection id="19" xr16:uid="{00000000-0015-0000-FFFF-FFFF12000000}" name="flight_data_raw25" type="6" refreshedVersion="6" background="1" saveData="1">
    <textPr prompt="0" codePage="437" sourceFile="C:\Leitor_MAU\flight_data_raw.txt" tab="0">
      <textFields>
        <textField/>
      </textFields>
    </textPr>
  </connection>
  <connection id="20" xr16:uid="{00000000-0015-0000-FFFF-FFFF13000000}" name="flight_data_raw26" type="6" refreshedVersion="6" background="1" saveData="1">
    <textPr prompt="0" codePage="437" sourceFile="C:\Leitor_MAU\flight_data_raw.txt" tab="0" delimiter="_">
      <textFields>
        <textField/>
      </textFields>
    </textPr>
  </connection>
  <connection id="21" xr16:uid="{00000000-0015-0000-FFFF-FFFF14000000}" name="flight_data_raw27" type="6" refreshedVersion="6" background="1" saveData="1">
    <textPr prompt="0" codePage="437" sourceFile="C:\Leitor_MAU\flight_data_raw.txt" tab="0" delimiter="_">
      <textFields>
        <textField/>
      </textFields>
    </textPr>
  </connection>
  <connection id="22" xr16:uid="{00000000-0015-0000-FFFF-FFFF15000000}" name="flight_data_raw28" type="6" refreshedVersion="6" background="1" saveData="1">
    <textPr prompt="0" codePage="437" sourceFile="C:\Leitor_MAU\flight_data_raw.txt" tab="0">
      <textFields>
        <textField/>
      </textFields>
    </textPr>
  </connection>
  <connection id="23" xr16:uid="{00000000-0015-0000-FFFF-FFFF16000000}" name="flight_data_raw29" type="6" refreshedVersion="6" background="1" saveData="1">
    <textPr prompt="0" codePage="437" sourceFile="C:\Leitor_MAU\flight_data_raw.txt" tab="0">
      <textFields>
        <textField/>
      </textFields>
    </textPr>
  </connection>
  <connection id="24" xr16:uid="{00000000-0015-0000-FFFF-FFFF17000000}" name="flight_data_raw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5" xr16:uid="{00000000-0015-0000-FFFF-FFFF18000000}" name="flight_data_raw30" type="6" refreshedVersion="6" background="1" saveData="1">
    <textPr prompt="0" codePage="437" sourceFile="C:\Leitor_MAU\flight_data_raw.txt" tab="0">
      <textFields>
        <textField/>
      </textFields>
    </textPr>
  </connection>
  <connection id="26" xr16:uid="{00000000-0015-0000-FFFF-FFFF19000000}" name="flight_data_raw31" type="6" refreshedVersion="6" background="1" saveData="1">
    <textPr prompt="0" codePage="437" sourceFile="C:\Leitor_MAU\flight_data_raw.txt" tab="0">
      <textFields>
        <textField/>
      </textFields>
    </textPr>
  </connection>
  <connection id="27" xr16:uid="{00000000-0015-0000-FFFF-FFFF1A000000}" name="flight_data_raw32" type="6" refreshedVersion="6" background="1" saveData="1">
    <textPr prompt="0" codePage="437" sourceFile="C:\Leitor_MAU\flight_data_raw.txt" tab="0">
      <textFields>
        <textField/>
      </textFields>
    </textPr>
  </connection>
  <connection id="28" xr16:uid="{00000000-0015-0000-FFFF-FFFF1B000000}" name="flight_data_raw33" type="6" refreshedVersion="6" background="1" saveData="1">
    <textPr prompt="0" codePage="437" sourceFile="C:\Leitor_MAU\flight_data_raw.txt" tab="0">
      <textFields>
        <textField/>
      </textFields>
    </textPr>
  </connection>
  <connection id="29" xr16:uid="{00000000-0015-0000-FFFF-FFFF1C000000}" name="flight_data_raw34" type="6" refreshedVersion="6" background="1" saveData="1">
    <textPr prompt="0" codePage="437" sourceFile="C:\Leitor_MAU\flight_data_raw.txt" tab="0">
      <textFields>
        <textField/>
      </textFields>
    </textPr>
  </connection>
  <connection id="30" xr16:uid="{00000000-0015-0000-FFFF-FFFF1D000000}" name="flight_data_raw35" type="6" refreshedVersion="6" background="1" saveData="1">
    <textPr prompt="0" codePage="437" sourceFile="C:\Leitor_MAU\flight_data_raw.txt" tab="0">
      <textFields>
        <textField/>
      </textFields>
    </textPr>
  </connection>
  <connection id="31" xr16:uid="{00000000-0015-0000-FFFF-FFFF1E000000}" name="flight_data_raw36" type="6" refreshedVersion="6" background="1" saveData="1">
    <textPr prompt="0" codePage="437" sourceFile="C:\Leitor_MAU\flight_data_raw.txt" tab="0">
      <textFields>
        <textField/>
      </textFields>
    </textPr>
  </connection>
  <connection id="32" xr16:uid="{00000000-0015-0000-FFFF-FFFF1F000000}" name="flight_data_raw37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3" xr16:uid="{00000000-0015-0000-FFFF-FFFF20000000}" name="flight_data_raw38" type="6" refreshedVersion="6" background="1" saveData="1">
    <textPr prompt="0" codePage="437" sourceFile="C:\Leitor_MAU\flight_data_raw.txt" tab="0">
      <textFields>
        <textField/>
      </textFields>
    </textPr>
  </connection>
  <connection id="34" xr16:uid="{00000000-0015-0000-FFFF-FFFF21000000}" name="flight_data_raw39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5" xr16:uid="{00000000-0015-0000-FFFF-FFFF22000000}" name="flight_data_raw4" type="6" refreshedVersion="6" background="1" saveData="1">
    <textPr prompt="0" codePage="437" sourceFile="C:\Leitor_MAU\flight_data_raw.txt" tab="0">
      <textFields>
        <textField/>
      </textFields>
    </textPr>
  </connection>
  <connection id="36" xr16:uid="{00000000-0015-0000-FFFF-FFFF23000000}" name="flight_data_raw40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7" xr16:uid="{00000000-0015-0000-FFFF-FFFF24000000}" name="flight_data_raw41" type="6" refreshedVersion="6" background="1" saveData="1">
    <textPr prompt="0" codePage="437" sourceFile="C:\Leitor_MAU\flight_data_raw.txt" tab="0">
      <textFields>
        <textField/>
      </textFields>
    </textPr>
  </connection>
  <connection id="38" xr16:uid="{00000000-0015-0000-FFFF-FFFF25000000}" name="flight_data_raw4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9" xr16:uid="{00000000-0015-0000-FFFF-FFFF26000000}" name="flight_data_raw48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0" xr16:uid="{00000000-0015-0000-FFFF-FFFF27000000}" name="flight_data_raw49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1" xr16:uid="{00000000-0015-0000-FFFF-FFFF28000000}" name="flight_data_raw5" type="6" refreshedVersion="6" background="1" saveData="1">
    <textPr prompt="0" codePage="437" sourceFile="C:\Leitor_MAU\flight_data_raw.txt" tab="0">
      <textFields>
        <textField/>
      </textFields>
    </textPr>
  </connection>
  <connection id="42" xr16:uid="{00000000-0015-0000-FFFF-FFFF29000000}" name="flight_data_raw5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3" xr16:uid="{00000000-0015-0000-FFFF-FFFF2A000000}" name="flight_data_raw54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4" xr16:uid="{00000000-0015-0000-FFFF-FFFF2B000000}" name="flight_data_raw55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5" xr16:uid="{00000000-0015-0000-FFFF-FFFF2C000000}" name="flight_data_raw6" type="6" refreshedVersion="6" background="1" saveData="1">
    <textPr prompt="0" codePage="437" sourceFile="C:\Leitor_MAU\flight_data_raw.txt" tab="0">
      <textFields>
        <textField/>
      </textFields>
    </textPr>
  </connection>
  <connection id="46" xr16:uid="{00000000-0015-0000-FFFF-FFFF2D000000}" name="flight_data_raw60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7" xr16:uid="{00000000-0015-0000-FFFF-FFFF2E000000}" name="flight_data_raw68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8" xr16:uid="{00000000-0015-0000-FFFF-FFFF2F000000}" name="flight_data_raw7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9" xr16:uid="{00000000-0015-0000-FFFF-FFFF30000000}" name="flight_data_raw77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0" xr16:uid="{00000000-0015-0000-FFFF-FFFF31000000}" name="flight_data_raw78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1" xr16:uid="{00000000-0015-0000-FFFF-FFFF32000000}" name="flight_data_raw8" type="6" refreshedVersion="6" background="1" saveData="1">
    <textPr prompt="0" codePage="437" sourceFile="C:\Leitor_MAU\flight_data_raw.txt" tab="0">
      <textFields>
        <textField/>
      </textFields>
    </textPr>
  </connection>
  <connection id="52" xr16:uid="{00000000-0015-0000-FFFF-FFFF33000000}" name="flight_data_raw9" type="6" refreshedVersion="6" background="1" saveData="1">
    <textPr prompt="0" codePage="437" sourceFile="C:\Leitor_MAU\flight_data_raw.txt" tab="0">
      <textFields>
        <textField/>
      </textFields>
    </textPr>
  </connection>
  <connection id="53" xr16:uid="{00000000-0015-0000-FFFF-FFFF34000000}" name="flight_data_true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54" xr16:uid="{00000000-0015-0000-FFFF-FFFF35000000}" name="flight_data_true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55" xr16:uid="{00000000-0015-0000-FFFF-FFFF36000000}" name="flight_data_true10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56" xr16:uid="{00000000-0015-0000-FFFF-FFFF37000000}" name="flight_data_true100" type="6" refreshedVersion="6" background="1" saveData="1">
    <textPr prompt="0" codePage="437" sourceFile="C:\Leitor_MAU\flight_data_true.txt" tab="0">
      <textFields>
        <textField/>
      </textFields>
    </textPr>
  </connection>
  <connection id="57" xr16:uid="{00000000-0015-0000-FFFF-FFFF38000000}" name="flight_data_true101" type="6" refreshedVersion="6" background="1" saveData="1">
    <textPr prompt="0" codePage="437" sourceFile="C:\Leitor_MAU\flight_data_true.txt" tab="0">
      <textFields>
        <textField/>
      </textFields>
    </textPr>
  </connection>
  <connection id="58" xr16:uid="{00000000-0015-0000-FFFF-FFFF39000000}" name="flight_data_true102" type="6" refreshedVersion="6" background="1" saveData="1">
    <textPr prompt="0" codePage="437" sourceFile="C:\Leitor_MAU\flight_data_true.txt" tab="0">
      <textFields>
        <textField/>
      </textFields>
    </textPr>
  </connection>
  <connection id="59" xr16:uid="{00000000-0015-0000-FFFF-FFFF3A000000}" name="flight_data_true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0" xr16:uid="{00000000-0015-0000-FFFF-FFFF3B000000}" name="flight_data_true1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1" xr16:uid="{00000000-0015-0000-FFFF-FFFF3C000000}" name="flight_data_true1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2" xr16:uid="{00000000-0015-0000-FFFF-FFFF3D000000}" name="flight_data_true14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3" xr16:uid="{00000000-0015-0000-FFFF-FFFF3E000000}" name="flight_data_true15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4" xr16:uid="{00000000-0015-0000-FFFF-FFFF3F000000}" name="flight_data_true16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5" xr16:uid="{00000000-0015-0000-FFFF-FFFF40000000}" name="flight_data_true17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6" xr16:uid="{00000000-0015-0000-FFFF-FFFF41000000}" name="flight_data_true18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7" xr16:uid="{00000000-0015-0000-FFFF-FFFF42000000}" name="flight_data_true19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8" xr16:uid="{00000000-0015-0000-FFFF-FFFF43000000}" name="flight_data_true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9" xr16:uid="{00000000-0015-0000-FFFF-FFFF44000000}" name="flight_data_true20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0" xr16:uid="{00000000-0015-0000-FFFF-FFFF45000000}" name="flight_data_true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1" xr16:uid="{00000000-0015-0000-FFFF-FFFF46000000}" name="flight_data_true2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2" xr16:uid="{00000000-0015-0000-FFFF-FFFF47000000}" name="flight_data_true2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3" xr16:uid="{00000000-0015-0000-FFFF-FFFF48000000}" name="flight_data_true24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4" xr16:uid="{00000000-0015-0000-FFFF-FFFF49000000}" name="flight_data_true25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5" xr16:uid="{00000000-0015-0000-FFFF-FFFF4A000000}" name="flight_data_true26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6" xr16:uid="{00000000-0015-0000-FFFF-FFFF4B000000}" name="flight_data_true27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7" xr16:uid="{00000000-0015-0000-FFFF-FFFF4C000000}" name="flight_data_true28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8" xr16:uid="{00000000-0015-0000-FFFF-FFFF4D000000}" name="flight_data_true29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9" xr16:uid="{00000000-0015-0000-FFFF-FFFF4E000000}" name="flight_data_true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0" xr16:uid="{00000000-0015-0000-FFFF-FFFF4F000000}" name="flight_data_true30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1" xr16:uid="{00000000-0015-0000-FFFF-FFFF50000000}" name="flight_data_true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2" xr16:uid="{00000000-0015-0000-FFFF-FFFF51000000}" name="flight_data_true3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3" xr16:uid="{00000000-0015-0000-FFFF-FFFF52000000}" name="flight_data_true3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4" xr16:uid="{00000000-0015-0000-FFFF-FFFF53000000}" name="flight_data_true34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5" xr16:uid="{00000000-0015-0000-FFFF-FFFF54000000}" name="flight_data_true35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6" xr16:uid="{00000000-0015-0000-FFFF-FFFF55000000}" name="flight_data_true36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7" xr16:uid="{00000000-0015-0000-FFFF-FFFF56000000}" name="flight_data_true37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8" xr16:uid="{00000000-0015-0000-FFFF-FFFF57000000}" name="flight_data_true38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9" xr16:uid="{00000000-0015-0000-FFFF-FFFF58000000}" name="flight_data_true39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0" xr16:uid="{00000000-0015-0000-FFFF-FFFF59000000}" name="flight_data_true4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1" xr16:uid="{00000000-0015-0000-FFFF-FFFF5A000000}" name="flight_data_true40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2" xr16:uid="{00000000-0015-0000-FFFF-FFFF5B000000}" name="flight_data_true4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3" xr16:uid="{00000000-0015-0000-FFFF-FFFF5C000000}" name="flight_data_true4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4" xr16:uid="{00000000-0015-0000-FFFF-FFFF5D000000}" name="flight_data_true4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5" xr16:uid="{00000000-0015-0000-FFFF-FFFF5E000000}" name="flight_data_true44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6" xr16:uid="{00000000-0015-0000-FFFF-FFFF5F000000}" name="flight_data_true45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7" xr16:uid="{00000000-0015-0000-FFFF-FFFF60000000}" name="flight_data_true46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8" xr16:uid="{00000000-0015-0000-FFFF-FFFF61000000}" name="flight_data_true47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9" xr16:uid="{00000000-0015-0000-FFFF-FFFF62000000}" name="flight_data_true48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0" xr16:uid="{00000000-0015-0000-FFFF-FFFF63000000}" name="flight_data_true49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1" xr16:uid="{00000000-0015-0000-FFFF-FFFF64000000}" name="flight_data_true5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2" xr16:uid="{00000000-0015-0000-FFFF-FFFF65000000}" name="flight_data_true50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3" xr16:uid="{00000000-0015-0000-FFFF-FFFF66000000}" name="flight_data_true5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4" xr16:uid="{00000000-0015-0000-FFFF-FFFF67000000}" name="flight_data_true5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5" xr16:uid="{00000000-0015-0000-FFFF-FFFF68000000}" name="flight_data_true5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6" xr16:uid="{00000000-0015-0000-FFFF-FFFF69000000}" name="flight_data_true54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7" xr16:uid="{00000000-0015-0000-FFFF-FFFF6A000000}" name="flight_data_true55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8" xr16:uid="{00000000-0015-0000-FFFF-FFFF6B000000}" name="flight_data_true56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9" xr16:uid="{00000000-0015-0000-FFFF-FFFF6C000000}" name="flight_data_true57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0" xr16:uid="{00000000-0015-0000-FFFF-FFFF6D000000}" name="flight_data_true58" type="6" refreshedVersion="5" background="1" saveData="1">
    <textPr prompt="0" codePage="437" sourceFile="C:\Leitor_Nanopeak\flight_data_true.txt" decimal="," thousands="." tab="0">
      <textFields>
        <textField/>
      </textFields>
    </textPr>
  </connection>
  <connection id="111" xr16:uid="{00000000-0015-0000-FFFF-FFFF6E000000}" name="flight_data_true59" type="6" refreshedVersion="6" background="1" saveData="1">
    <textPr prompt="0" codePage="437" sourceFile="C:\Leitor_MAU\flight_data_true.txt" tab="0">
      <textFields>
        <textField/>
      </textFields>
    </textPr>
  </connection>
  <connection id="112" xr16:uid="{00000000-0015-0000-FFFF-FFFF6F000000}" name="flight_data_true6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3" xr16:uid="{00000000-0015-0000-FFFF-FFFF70000000}" name="flight_data_true60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4" xr16:uid="{00000000-0015-0000-FFFF-FFFF71000000}" name="flight_data_true61" type="6" refreshedVersion="6" background="1" saveData="1">
    <textPr prompt="0" codePage="437" sourceFile="C:\Leitor_MAU\flight_data_true.txt" tab="0">
      <textFields>
        <textField/>
      </textFields>
    </textPr>
  </connection>
  <connection id="115" xr16:uid="{00000000-0015-0000-FFFF-FFFF72000000}" name="flight_data_true62" type="6" refreshedVersion="6" background="1" saveData="1">
    <textPr prompt="0" codePage="437" sourceFile="C:\Leitor_MAU\flight_data_true.txt" tab="0">
      <textFields>
        <textField/>
      </textFields>
    </textPr>
  </connection>
  <connection id="116" xr16:uid="{00000000-0015-0000-FFFF-FFFF73000000}" name="flight_data_true6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7" xr16:uid="{00000000-0015-0000-FFFF-FFFF74000000}" name="flight_data_true64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8" xr16:uid="{00000000-0015-0000-FFFF-FFFF75000000}" name="flight_data_true65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9" xr16:uid="{00000000-0015-0000-FFFF-FFFF76000000}" name="flight_data_true66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0" xr16:uid="{00000000-0015-0000-FFFF-FFFF77000000}" name="flight_data_true67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1" xr16:uid="{00000000-0015-0000-FFFF-FFFF78000000}" name="flight_data_true68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2" xr16:uid="{00000000-0015-0000-FFFF-FFFF79000000}" name="flight_data_true69" type="6" refreshedVersion="6" background="1" saveData="1">
    <textPr prompt="0" codePage="437" sourceFile="C:\Leitor_MAU\flight_data_true.txt" tab="0">
      <textFields>
        <textField/>
      </textFields>
    </textPr>
  </connection>
  <connection id="123" xr16:uid="{00000000-0015-0000-FFFF-FFFF7A000000}" name="flight_data_true7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4" xr16:uid="{00000000-0015-0000-FFFF-FFFF7B000000}" name="flight_data_true70" type="6" refreshedVersion="6" background="1" saveData="1">
    <textPr prompt="0" codePage="437" sourceFile="C:\Leitor_MAU\flight_data_true.txt" tab="0">
      <textFields>
        <textField/>
      </textFields>
    </textPr>
  </connection>
  <connection id="125" xr16:uid="{00000000-0015-0000-FFFF-FFFF7C000000}" name="flight_data_true71" type="6" refreshedVersion="6" background="1" saveData="1">
    <textPr prompt="0" codePage="437" sourceFile="C:\Leitor_MAU\flight_data_true.txt" tab="0">
      <textFields>
        <textField/>
      </textFields>
    </textPr>
  </connection>
  <connection id="126" xr16:uid="{00000000-0015-0000-FFFF-FFFF7D000000}" name="flight_data_true72" type="6" refreshedVersion="6" background="1" saveData="1">
    <textPr prompt="0" codePage="437" sourceFile="C:\Leitor_MAU\flight_data_true.txt" tab="0">
      <textFields>
        <textField/>
      </textFields>
    </textPr>
  </connection>
  <connection id="127" xr16:uid="{00000000-0015-0000-FFFF-FFFF7E000000}" name="flight_data_true73" type="6" refreshedVersion="6" background="1" saveData="1">
    <textPr prompt="0" codePage="437" sourceFile="C:\Leitor_MAU\flight_data_true.txt" tab="0">
      <textFields>
        <textField/>
      </textFields>
    </textPr>
  </connection>
  <connection id="128" xr16:uid="{00000000-0015-0000-FFFF-FFFF7F000000}" name="flight_data_true74" type="6" refreshedVersion="6" background="1" saveData="1">
    <textPr prompt="0" codePage="437" sourceFile="C:\Leitor_MAU\flight_data_true.txt" tab="0">
      <textFields>
        <textField/>
      </textFields>
    </textPr>
  </connection>
  <connection id="129" xr16:uid="{00000000-0015-0000-FFFF-FFFF80000000}" name="flight_data_true75" type="6" refreshedVersion="6" background="1" saveData="1">
    <textPr prompt="0" codePage="437" sourceFile="C:\Leitor_MAU\flight_data_true.txt" tab="0">
      <textFields>
        <textField/>
      </textFields>
    </textPr>
  </connection>
  <connection id="130" xr16:uid="{00000000-0015-0000-FFFF-FFFF81000000}" name="flight_data_true76" type="6" refreshedVersion="6" background="1" saveData="1">
    <textPr prompt="0" codePage="437" sourceFile="C:\Leitor_MAU\flight_data_true.txt" tab="0">
      <textFields>
        <textField/>
      </textFields>
    </textPr>
  </connection>
  <connection id="131" xr16:uid="{00000000-0015-0000-FFFF-FFFF82000000}" name="flight_data_true77" type="6" refreshedVersion="6" background="1" saveData="1">
    <textPr prompt="0" codePage="437" sourceFile="C:\Leitor_MAU\flight_data_true.txt" tab="0">
      <textFields>
        <textField/>
      </textFields>
    </textPr>
  </connection>
  <connection id="132" xr16:uid="{00000000-0015-0000-FFFF-FFFF83000000}" name="flight_data_true78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3" xr16:uid="{00000000-0015-0000-FFFF-FFFF84000000}" name="flight_data_true79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4" xr16:uid="{00000000-0015-0000-FFFF-FFFF85000000}" name="flight_data_true8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5" xr16:uid="{00000000-0015-0000-FFFF-FFFF86000000}" name="flight_data_true80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6" xr16:uid="{00000000-0015-0000-FFFF-FFFF87000000}" name="flight_data_true81" type="6" refreshedVersion="6" background="1" saveData="1">
    <textPr prompt="0" codePage="437" sourceFile="C:\Leitor_MAU\flight_data_true.txt" tab="0">
      <textFields>
        <textField/>
      </textFields>
    </textPr>
  </connection>
  <connection id="137" xr16:uid="{00000000-0015-0000-FFFF-FFFF88000000}" name="flight_data_true82" type="6" refreshedVersion="6" background="1" saveData="1">
    <textPr prompt="0" codePage="437" sourceFile="C:\Leitor_MAU\flight_data_true.txt" tab="0">
      <textFields>
        <textField/>
      </textFields>
    </textPr>
  </connection>
  <connection id="138" xr16:uid="{00000000-0015-0000-FFFF-FFFF89000000}" name="flight_data_true83" type="6" refreshedVersion="6" background="1" saveData="1">
    <textPr prompt="0" codePage="437" sourceFile="C:\Leitor_MAU\flight_data_true.txt" tab="0">
      <textFields>
        <textField/>
      </textFields>
    </textPr>
  </connection>
  <connection id="139" xr16:uid="{00000000-0015-0000-FFFF-FFFF8A000000}" name="flight_data_true84" type="6" refreshedVersion="6" background="1" saveData="1">
    <textPr prompt="0" codePage="437" sourceFile="C:\Leitor_MAU\flight_data_true.txt" tab="0">
      <textFields>
        <textField/>
      </textFields>
    </textPr>
  </connection>
  <connection id="140" xr16:uid="{00000000-0015-0000-FFFF-FFFF8B000000}" name="flight_data_true85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41" xr16:uid="{00000000-0015-0000-FFFF-FFFF8C000000}" name="flight_data_true86" type="6" refreshedVersion="6" background="1" saveData="1">
    <textPr prompt="0" codePage="437" sourceFile="C:\Leitor_MAU\flight_data_true.txt" tab="0">
      <textFields>
        <textField/>
      </textFields>
    </textPr>
  </connection>
  <connection id="142" xr16:uid="{00000000-0015-0000-FFFF-FFFF8D000000}" name="flight_data_true87" type="6" refreshedVersion="6" background="1" saveData="1">
    <textPr prompt="0" codePage="437" sourceFile="C:\Leitor_MAU\flight_data_true.txt" tab="0">
      <textFields>
        <textField/>
      </textFields>
    </textPr>
  </connection>
  <connection id="143" xr16:uid="{00000000-0015-0000-FFFF-FFFF8E000000}" name="flight_data_true88" type="6" refreshedVersion="6" background="1" saveData="1">
    <textPr prompt="0" codePage="437" sourceFile="C:\Leitor_MAU\flight_data_true.txt" tab="0">
      <textFields>
        <textField/>
      </textFields>
    </textPr>
  </connection>
  <connection id="144" xr16:uid="{00000000-0015-0000-FFFF-FFFF8F000000}" name="flight_data_true89" type="6" refreshedVersion="6" background="1" saveData="1">
    <textPr prompt="0" codePage="437" sourceFile="C:\Leitor_MAU\flight_data_true.txt" tab="0" delimiter="_">
      <textFields>
        <textField/>
      </textFields>
    </textPr>
  </connection>
  <connection id="145" xr16:uid="{00000000-0015-0000-FFFF-FFFF90000000}" name="flight_data_true9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46" xr16:uid="{00000000-0015-0000-FFFF-FFFF91000000}" name="flight_data_true90" type="6" refreshedVersion="6" background="1" saveData="1">
    <textPr prompt="0" codePage="437" sourceFile="C:\Leitor_MAU\flight_data_true.txt" tab="0" delimiter="_">
      <textFields>
        <textField/>
      </textFields>
    </textPr>
  </connection>
  <connection id="147" xr16:uid="{00000000-0015-0000-FFFF-FFFF92000000}" name="flight_data_true91" type="6" refreshedVersion="6" background="1" saveData="1">
    <textPr prompt="0" codePage="437" sourceFile="C:\Leitor_MAU\flight_data_true.txt" tab="0" delimiter="_">
      <textFields>
        <textField/>
      </textFields>
    </textPr>
  </connection>
  <connection id="148" xr16:uid="{00000000-0015-0000-FFFF-FFFF93000000}" name="flight_data_true92" type="6" refreshedVersion="6" background="1" saveData="1">
    <textPr prompt="0" codePage="437" sourceFile="C:\Leitor_MAU\flight_data_true.txt" tab="0">
      <textFields>
        <textField/>
      </textFields>
    </textPr>
  </connection>
  <connection id="149" xr16:uid="{00000000-0015-0000-FFFF-FFFF94000000}" name="flight_data_true93" type="6" refreshedVersion="6" background="1" saveData="1">
    <textPr prompt="0" codePage="437" sourceFile="C:\Leitor_MAU\flight_data_true.txt" tab="0">
      <textFields>
        <textField/>
      </textFields>
    </textPr>
  </connection>
  <connection id="150" xr16:uid="{00000000-0015-0000-FFFF-FFFF95000000}" name="flight_data_true94" type="6" refreshedVersion="6" background="1" saveData="1">
    <textPr prompt="0" codePage="437" sourceFile="C:\Leitor_MAU\flight_data_true.txt" tab="0">
      <textFields>
        <textField/>
      </textFields>
    </textPr>
  </connection>
  <connection id="151" xr16:uid="{00000000-0015-0000-FFFF-FFFF96000000}" name="flight_data_true95" type="6" refreshedVersion="6" background="1" saveData="1">
    <textPr prompt="0" codePage="437" sourceFile="C:\Leitor_MAU\flight_data_true.txt" tab="0">
      <textFields>
        <textField/>
      </textFields>
    </textPr>
  </connection>
  <connection id="152" xr16:uid="{00000000-0015-0000-FFFF-FFFF97000000}" name="flight_data_true96" type="6" refreshedVersion="6" background="1" saveData="1">
    <textPr prompt="0" codePage="437" sourceFile="C:\Leitor_MAU\flight_data_true.txt" tab="0">
      <textFields>
        <textField/>
      </textFields>
    </textPr>
  </connection>
  <connection id="153" xr16:uid="{00000000-0015-0000-FFFF-FFFF98000000}" name="flight_data_true97" type="6" refreshedVersion="6" background="1" saveData="1">
    <textPr prompt="0" codePage="437" sourceFile="C:\Leitor_MAU\flight_data_true.txt" tab="0">
      <textFields>
        <textField/>
      </textFields>
    </textPr>
  </connection>
  <connection id="154" xr16:uid="{00000000-0015-0000-FFFF-FFFF99000000}" name="flight_data_true98" type="6" refreshedVersion="6" background="1" saveData="1">
    <textPr prompt="0" codePage="437" sourceFile="C:\Leitor_MAU\flight_data_true.txt" tab="0">
      <textFields>
        <textField/>
      </textFields>
    </textPr>
  </connection>
  <connection id="155" xr16:uid="{00000000-0015-0000-FFFF-FFFF9A000000}" name="flight_data_true99" type="6" refreshedVersion="6" background="1" saveData="1">
    <textPr prompt="0" codePage="437" sourceFile="C:\Leitor_MAU\flight_data_true.txt" tab="0">
      <textFields>
        <textField/>
      </textFields>
    </textPr>
  </connection>
  <connection id="156" xr16:uid="{00000000-0015-0000-FFFF-FFFF9B000000}" name="P1_flight_data_true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157" xr16:uid="{00000000-0015-0000-FFFF-FFFF9C000000}" name="P1_flight_data_true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58" xr16:uid="{00000000-0015-0000-FFFF-FFFF9D000000}" name="P1_flight_data_true13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59" xr16:uid="{00000000-0015-0000-FFFF-FFFF9E000000}" name="P1_flight_data_true14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60" xr16:uid="{00000000-0015-0000-FFFF-FFFF9F000000}" name="P1_flight_data_true15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61" xr16:uid="{00000000-0015-0000-FFFF-FFFFA0000000}" name="P1_flight_data_true2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62" xr16:uid="{00000000-0015-0000-FFFF-FFFFA1000000}" name="P1_flight_data_true4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63" xr16:uid="{00000000-0015-0000-FFFF-FFFFA2000000}" name="P1_flight_data_true6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164" xr16:uid="{00000000-0015-0000-FFFF-FFFFA3000000}" name="P1_flight_data_true8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<sst xmlns="http://schemas.openxmlformats.org/spreadsheetml/2006/main" count="29" uniqueCount="28">
  <si>
    <t>P (input)</t>
  </si>
  <si>
    <t>h (output)</t>
  </si>
  <si>
    <t>h (input)</t>
  </si>
  <si>
    <t>P (output)</t>
  </si>
  <si>
    <t>EQ1_Tb</t>
  </si>
  <si>
    <t>coef1</t>
  </si>
  <si>
    <t>EQ1_Lb</t>
  </si>
  <si>
    <t>index1</t>
  </si>
  <si>
    <t>EQ1_R</t>
  </si>
  <si>
    <t>coef2</t>
  </si>
  <si>
    <t>EQ1_g</t>
  </si>
  <si>
    <t>index2</t>
  </si>
  <si>
    <t>EQ1_M</t>
  </si>
  <si>
    <t>EQ1_Pb</t>
  </si>
  <si>
    <t>Altitude (m)</t>
  </si>
  <si>
    <t>Data:</t>
  </si>
  <si>
    <t>Pressão no Solo (Pa)</t>
  </si>
  <si>
    <t>Pressão no Apogeu (Pa)</t>
  </si>
  <si>
    <t>Apogeu (m)</t>
  </si>
  <si>
    <t>Altímetro</t>
  </si>
  <si>
    <t>Altitude</t>
  </si>
  <si>
    <t>Altura</t>
  </si>
  <si>
    <t>Tempo (s)</t>
  </si>
  <si>
    <t>Vôo Nº:</t>
  </si>
  <si>
    <t>Equação Barométrica</t>
  </si>
  <si>
    <t>Pressao</t>
  </si>
  <si>
    <t>Dados Brutos</t>
  </si>
  <si>
    <t>101324,27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</si>
</sst>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29">
    <border>
      <left/>
      <right/>
      <top/>
      <bottom/>
      <diagonal/>
    </border>
    <border>
      <left style="medium">
        <color theme="5"/>
      </left>
      <right style="medium">
        <color theme="5"/>
      </right>
      <top style="medium">
        <color theme="5"/>
      </top>
      <bottom style="medium">
        <color theme="5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rgb="FFC00000"/>
      </left>
      <right style="thin">
        <color indexed="64"/>
      </right>
      <top style="thick">
        <color rgb="FFC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C00000"/>
      </top>
      <bottom style="thin">
        <color indexed="64"/>
      </bottom>
      <diagonal/>
    </border>
    <border>
      <left style="thick">
        <color rgb="FFC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C00000"/>
      </left>
      <right style="thin">
        <color indexed="64"/>
      </right>
      <top style="thin">
        <color indexed="64"/>
      </top>
      <bottom style="thick">
        <color rgb="FFC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C00000"/>
      </bottom>
      <diagonal/>
    </border>
    <border>
      <left style="medium">
        <color rgb="FFFFC000"/>
      </left>
      <right style="medium">
        <color rgb="FFFFC000"/>
      </right>
      <top style="thin">
        <color indexed="64"/>
      </top>
      <bottom style="thin">
        <color indexed="64"/>
      </bottom>
      <diagonal/>
    </border>
    <border>
      <left style="medium">
        <color rgb="FFFFC000"/>
      </left>
      <right style="medium">
        <color rgb="FFFFC000"/>
      </right>
      <top style="thick">
        <color rgb="FFC00000"/>
      </top>
      <bottom style="thin">
        <color indexed="64"/>
      </bottom>
      <diagonal/>
    </border>
    <border>
      <left style="medium">
        <color rgb="FFFFC000"/>
      </left>
      <right style="medium">
        <color rgb="FFFFC000"/>
      </right>
      <top style="thin">
        <color indexed="64"/>
      </top>
      <bottom style="thick">
        <color rgb="FFC00000"/>
      </bottom>
      <diagonal/>
    </border>
    <border>
      <left style="thin">
        <color indexed="64"/>
      </left>
      <right style="thick">
        <color rgb="FFC00000"/>
      </right>
      <top style="thick">
        <color rgb="FFC00000"/>
      </top>
      <bottom/>
      <diagonal/>
    </border>
    <border>
      <left style="medium">
        <color theme="5"/>
      </left>
      <right style="thick">
        <color rgb="FFC00000"/>
      </right>
      <top style="medium">
        <color theme="5"/>
      </top>
      <bottom style="thin">
        <color indexed="64"/>
      </bottom>
      <diagonal/>
    </border>
    <border>
      <left style="medium">
        <color theme="5"/>
      </left>
      <right style="thick">
        <color rgb="FFC00000"/>
      </right>
      <top style="thin">
        <color indexed="64"/>
      </top>
      <bottom style="thin">
        <color indexed="64"/>
      </bottom>
      <diagonal/>
    </border>
    <border>
      <left style="medium">
        <color theme="5"/>
      </left>
      <right style="thick">
        <color rgb="FFC00000"/>
      </right>
      <top style="thin">
        <color indexed="64"/>
      </top>
      <bottom style="thick">
        <color rgb="FFC00000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0" borderId="1" xfId="0" applyBorder="1"/>
    <xf numFmtId="164" fontId="0" fillId="0" borderId="0" xfId="0" applyNumberFormat="1"/>
    <xf numFmtId="2" fontId="0" fillId="0" borderId="0" xfId="0" applyNumberFormat="1"/>
    <xf numFmtId="164" fontId="0" fillId="0" borderId="0" xfId="0" applyNumberFormat="1" applyBorder="1"/>
    <xf numFmtId="0" fontId="0" fillId="0" borderId="0" xfId="0" applyBorder="1"/>
    <xf numFmtId="0" fontId="1" fillId="0" borderId="5" xfId="0" applyFont="1" applyBorder="1"/>
    <xf numFmtId="0" fontId="0" fillId="0" borderId="7" xfId="0" applyBorder="1"/>
    <xf numFmtId="2" fontId="0" fillId="0" borderId="5" xfId="0" applyNumberFormat="1" applyBorder="1" applyAlignment="1"/>
    <xf numFmtId="0" fontId="0" fillId="0" borderId="8" xfId="0" applyBorder="1"/>
    <xf numFmtId="0" fontId="0" fillId="0" borderId="9" xfId="0" applyBorder="1"/>
    <xf numFmtId="0" fontId="0" fillId="0" borderId="11" xfId="0" applyBorder="1"/>
    <xf numFmtId="164" fontId="0" fillId="0" borderId="11" xfId="0" applyNumberFormat="1" applyBorder="1"/>
    <xf numFmtId="164" fontId="0" fillId="0" borderId="12" xfId="0" applyNumberFormat="1" applyBorder="1"/>
    <xf numFmtId="164" fontId="0" fillId="0" borderId="14" xfId="0" applyNumberFormat="1" applyBorder="1"/>
    <xf numFmtId="0" fontId="0" fillId="0" borderId="15" xfId="0" applyBorder="1"/>
    <xf numFmtId="0" fontId="0" fillId="0" borderId="6" xfId="0" applyBorder="1"/>
    <xf numFmtId="164" fontId="0" fillId="0" borderId="6" xfId="0" applyNumberFormat="1" applyBorder="1"/>
    <xf numFmtId="164" fontId="0" fillId="0" borderId="16" xfId="0" applyNumberFormat="1" applyBorder="1"/>
    <xf numFmtId="0" fontId="1" fillId="0" borderId="0" xfId="0" applyFont="1" applyBorder="1"/>
    <xf numFmtId="0" fontId="1" fillId="2" borderId="16" xfId="0" applyFont="1" applyFill="1" applyBorder="1" applyAlignment="1"/>
    <xf numFmtId="0" fontId="0" fillId="0" borderId="4" xfId="0" applyBorder="1" applyAlignment="1">
      <alignment horizontal="center"/>
    </xf>
    <xf numFmtId="0" fontId="1" fillId="2" borderId="6" xfId="0" applyFont="1" applyFill="1" applyBorder="1" applyAlignment="1"/>
    <xf numFmtId="0" fontId="0" fillId="0" borderId="18" xfId="0" applyBorder="1" applyAlignment="1"/>
    <xf numFmtId="2" fontId="0" fillId="0" borderId="21" xfId="0" applyNumberFormat="1" applyBorder="1" applyAlignment="1"/>
    <xf numFmtId="164" fontId="0" fillId="0" borderId="22" xfId="0" applyNumberFormat="1" applyBorder="1"/>
    <xf numFmtId="0" fontId="1" fillId="0" borderId="23" xfId="0" applyFont="1" applyBorder="1"/>
    <xf numFmtId="164" fontId="0" fillId="0" borderId="24" xfId="0" applyNumberFormat="1" applyBorder="1"/>
    <xf numFmtId="0" fontId="1" fillId="0" borderId="2" xfId="0" applyFont="1" applyBorder="1" applyAlignment="1">
      <alignment horizontal="center"/>
    </xf>
    <xf numFmtId="49" fontId="0" fillId="0" borderId="10" xfId="0" applyNumberFormat="1" applyBorder="1"/>
    <xf numFmtId="49" fontId="0" fillId="0" borderId="13" xfId="0" applyNumberFormat="1" applyBorder="1"/>
    <xf numFmtId="0" fontId="1" fillId="2" borderId="15" xfId="0" applyFont="1" applyFill="1" applyBorder="1" applyAlignment="1">
      <alignment vertical="center"/>
    </xf>
    <xf numFmtId="3" fontId="0" fillId="0" borderId="0" xfId="0" applyNumberFormat="1"/>
    <xf numFmtId="4" fontId="0" fillId="0" borderId="0" xfId="0" applyNumberFormat="1"/>
    <xf numFmtId="0" fontId="0" fillId="0" borderId="0" xfId="0" applyNumberFormat="1"/>
    <xf numFmtId="0" fontId="1" fillId="0" borderId="0" xfId="0" applyFont="1" applyBorder="1" applyAlignment="1"/>
    <xf numFmtId="0" fontId="0" fillId="0" borderId="13" xfId="0" applyBorder="1"/>
    <xf numFmtId="0" fontId="0" fillId="0" borderId="25" xfId="0" applyBorder="1"/>
    <xf numFmtId="0" fontId="1" fillId="0" borderId="26" xfId="0" applyFont="1" applyBorder="1" applyAlignment="1">
      <alignment horizontal="center"/>
    </xf>
    <xf numFmtId="164" fontId="2" fillId="0" borderId="27" xfId="0" applyNumberFormat="1" applyFont="1" applyBorder="1"/>
    <xf numFmtId="164" fontId="3" fillId="0" borderId="28" xfId="0" applyNumberFormat="1" applyFont="1" applyBorder="1"/>
    <xf numFmtId="14" fontId="0" fillId="0" borderId="3" xfId="0" applyNumberForma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20" xfId="0" applyFont="1" applyBorder="1" applyAlignment="1">
      <alignment horizontal="right"/>
    </xf>
    <xf numFmtId="0" fontId="1" fillId="0" borderId="21" xfId="0" applyFont="1" applyBorder="1" applyAlignment="1">
      <alignment horizontal="right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7" xfId="0" applyFont="1" applyBorder="1" applyAlignment="1">
      <alignment horizontal="right"/>
    </xf>
    <xf numFmtId="0" fontId="1" fillId="0" borderId="18" xfId="0" applyFont="1" applyBorder="1" applyAlignment="1">
      <alignment horizontal="right"/>
    </xf>
    <xf numFmtId="0" fontId="1" fillId="0" borderId="19" xfId="0" applyFont="1" applyBorder="1" applyAlignment="1">
      <alignment horizontal="right"/>
    </xf>
    <xf numFmtId="0" fontId="1" fillId="0" borderId="5" xfId="0" applyFont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Altura</a:t>
            </a:r>
            <a:r>
              <a:rPr lang="pt-BR" baseline="0"/>
              <a:t> no Tempo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'Leitura Dados de Vôo'!$C$6</c:f>
              <c:strCache>
                <c:ptCount val="1"/>
                <c:pt idx="0">
                  <c:v>Altímetro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'Leitura Dados de Vôo'!$A$8:$A$248</c:f>
              <c:numCache>
                <c:formatCode>General</c:formatCode>
                <c:ptCount val="241"/>
                <c:pt idx="0">
                  <c:v>0</c:v>
                </c:pt>
                <c:pt idx="1">
                  <c:v>0.192</c:v>
                </c:pt>
                <c:pt idx="2">
                  <c:v>0.38400000000000001</c:v>
                </c:pt>
                <c:pt idx="3">
                  <c:v>0.57599999999999996</c:v>
                </c:pt>
                <c:pt idx="4">
                  <c:v>0.76800000000000002</c:v>
                </c:pt>
                <c:pt idx="5">
                  <c:v>0.96</c:v>
                </c:pt>
                <c:pt idx="6">
                  <c:v>1.1519999999999999</c:v>
                </c:pt>
                <c:pt idx="7">
                  <c:v>1.3440000000000001</c:v>
                </c:pt>
                <c:pt idx="8">
                  <c:v>1.536</c:v>
                </c:pt>
                <c:pt idx="9">
                  <c:v>1.728</c:v>
                </c:pt>
                <c:pt idx="10">
                  <c:v>1.92</c:v>
                </c:pt>
                <c:pt idx="11">
                  <c:v>2.1120000000000001</c:v>
                </c:pt>
                <c:pt idx="12">
                  <c:v>2.3039999999999998</c:v>
                </c:pt>
                <c:pt idx="13">
                  <c:v>2.496</c:v>
                </c:pt>
                <c:pt idx="14">
                  <c:v>2.6880000000000002</c:v>
                </c:pt>
                <c:pt idx="15">
                  <c:v>2.88</c:v>
                </c:pt>
                <c:pt idx="16">
                  <c:v>3.0720000000000001</c:v>
                </c:pt>
                <c:pt idx="17">
                  <c:v>3.2639999999999998</c:v>
                </c:pt>
                <c:pt idx="18">
                  <c:v>3.456</c:v>
                </c:pt>
                <c:pt idx="19">
                  <c:v>3.6480000000000001</c:v>
                </c:pt>
                <c:pt idx="20">
                  <c:v>3.84</c:v>
                </c:pt>
                <c:pt idx="21">
                  <c:v>4.032</c:v>
                </c:pt>
                <c:pt idx="22">
                  <c:v>4.2240000000000002</c:v>
                </c:pt>
                <c:pt idx="23">
                  <c:v>4.4160000000000004</c:v>
                </c:pt>
                <c:pt idx="24">
                  <c:v>4.6079999999999997</c:v>
                </c:pt>
                <c:pt idx="25">
                  <c:v>4.8</c:v>
                </c:pt>
                <c:pt idx="26">
                  <c:v>4.992</c:v>
                </c:pt>
                <c:pt idx="27">
                  <c:v>5.1840000000000002</c:v>
                </c:pt>
                <c:pt idx="28">
                  <c:v>5.3760000000000003</c:v>
                </c:pt>
                <c:pt idx="29">
                  <c:v>5.5679999999999996</c:v>
                </c:pt>
                <c:pt idx="30">
                  <c:v>5.76</c:v>
                </c:pt>
                <c:pt idx="31">
                  <c:v>5.952</c:v>
                </c:pt>
                <c:pt idx="32">
                  <c:v>6.1440000000000001</c:v>
                </c:pt>
                <c:pt idx="33">
                  <c:v>6.3360000000000003</c:v>
                </c:pt>
                <c:pt idx="34">
                  <c:v>6.5279999999999996</c:v>
                </c:pt>
                <c:pt idx="35">
                  <c:v>6.72</c:v>
                </c:pt>
                <c:pt idx="36">
                  <c:v>6.9119999999999999</c:v>
                </c:pt>
                <c:pt idx="37">
                  <c:v>7.1040000000000001</c:v>
                </c:pt>
                <c:pt idx="38">
                  <c:v>7.2959999999999896</c:v>
                </c:pt>
                <c:pt idx="39">
                  <c:v>7.4879999999999898</c:v>
                </c:pt>
                <c:pt idx="40">
                  <c:v>7.6799999999999899</c:v>
                </c:pt>
                <c:pt idx="41">
                  <c:v>7.8719999999999901</c:v>
                </c:pt>
                <c:pt idx="42">
                  <c:v>8.0639999999999894</c:v>
                </c:pt>
                <c:pt idx="43">
                  <c:v>8.2559999999999896</c:v>
                </c:pt>
                <c:pt idx="44">
                  <c:v>8.4479999999999897</c:v>
                </c:pt>
                <c:pt idx="45">
                  <c:v>8.6399999999999899</c:v>
                </c:pt>
                <c:pt idx="46">
                  <c:v>8.8319999999999901</c:v>
                </c:pt>
                <c:pt idx="47">
                  <c:v>9.0239999999999903</c:v>
                </c:pt>
                <c:pt idx="48">
                  <c:v>9.2159999999999904</c:v>
                </c:pt>
                <c:pt idx="49">
                  <c:v>9.4079999999999906</c:v>
                </c:pt>
                <c:pt idx="50">
                  <c:v>9.5999999999999908</c:v>
                </c:pt>
                <c:pt idx="51">
                  <c:v>9.7919999999999892</c:v>
                </c:pt>
                <c:pt idx="52">
                  <c:v>9.9839999999999893</c:v>
                </c:pt>
                <c:pt idx="53">
                  <c:v>10.176</c:v>
                </c:pt>
                <c:pt idx="54">
                  <c:v>10.368</c:v>
                </c:pt>
                <c:pt idx="55">
                  <c:v>10.56</c:v>
                </c:pt>
                <c:pt idx="56">
                  <c:v>10.752000000000001</c:v>
                </c:pt>
                <c:pt idx="57">
                  <c:v>10.944000000000001</c:v>
                </c:pt>
                <c:pt idx="58">
                  <c:v>11.135999999999999</c:v>
                </c:pt>
                <c:pt idx="59">
                  <c:v>11.327999999999999</c:v>
                </c:pt>
                <c:pt idx="60">
                  <c:v>11.52</c:v>
                </c:pt>
                <c:pt idx="61">
                  <c:v>11.712</c:v>
                </c:pt>
                <c:pt idx="62">
                  <c:v>11.904</c:v>
                </c:pt>
                <c:pt idx="63">
                  <c:v>12.096</c:v>
                </c:pt>
                <c:pt idx="64">
                  <c:v>12.288</c:v>
                </c:pt>
                <c:pt idx="65">
                  <c:v>12.48</c:v>
                </c:pt>
                <c:pt idx="66">
                  <c:v>12.672000000000001</c:v>
                </c:pt>
                <c:pt idx="67">
                  <c:v>12.864000000000001</c:v>
                </c:pt>
                <c:pt idx="68">
                  <c:v>13.055999999999999</c:v>
                </c:pt>
                <c:pt idx="69">
                  <c:v>13.247999999999999</c:v>
                </c:pt>
                <c:pt idx="70">
                  <c:v>13.44</c:v>
                </c:pt>
                <c:pt idx="71">
                  <c:v>13.632</c:v>
                </c:pt>
                <c:pt idx="72">
                  <c:v>13.824</c:v>
                </c:pt>
                <c:pt idx="73">
                  <c:v>14.016</c:v>
                </c:pt>
                <c:pt idx="74">
                  <c:v>14.208</c:v>
                </c:pt>
                <c:pt idx="75">
                  <c:v>14.4</c:v>
                </c:pt>
                <c:pt idx="76">
                  <c:v>14.592000000000001</c:v>
                </c:pt>
                <c:pt idx="77">
                  <c:v>14.784000000000001</c:v>
                </c:pt>
                <c:pt idx="78">
                  <c:v>14.976000000000001</c:v>
                </c:pt>
                <c:pt idx="79">
                  <c:v>15.167999999999999</c:v>
                </c:pt>
                <c:pt idx="80">
                  <c:v>15.36</c:v>
                </c:pt>
                <c:pt idx="81">
                  <c:v>15.552</c:v>
                </c:pt>
                <c:pt idx="82">
                  <c:v>15.744</c:v>
                </c:pt>
                <c:pt idx="83">
                  <c:v>15.936</c:v>
                </c:pt>
                <c:pt idx="84">
                  <c:v>16.128</c:v>
                </c:pt>
                <c:pt idx="85">
                  <c:v>16.32</c:v>
                </c:pt>
                <c:pt idx="86">
                  <c:v>16.512</c:v>
                </c:pt>
                <c:pt idx="87">
                  <c:v>16.704000000000001</c:v>
                </c:pt>
                <c:pt idx="88">
                  <c:v>16.896000000000001</c:v>
                </c:pt>
                <c:pt idx="89">
                  <c:v>17.088000000000001</c:v>
                </c:pt>
                <c:pt idx="90">
                  <c:v>17.28</c:v>
                </c:pt>
                <c:pt idx="91">
                  <c:v>17.472000000000001</c:v>
                </c:pt>
                <c:pt idx="92">
                  <c:v>17.664000000000001</c:v>
                </c:pt>
                <c:pt idx="93">
                  <c:v>17.856000000000002</c:v>
                </c:pt>
                <c:pt idx="94">
                  <c:v>18.047999999999998</c:v>
                </c:pt>
                <c:pt idx="95">
                  <c:v>18.239999999999998</c:v>
                </c:pt>
                <c:pt idx="96">
                  <c:v>18.431999999999999</c:v>
                </c:pt>
                <c:pt idx="97">
                  <c:v>18.623999999999999</c:v>
                </c:pt>
                <c:pt idx="98">
                  <c:v>18.815999999999999</c:v>
                </c:pt>
                <c:pt idx="99">
                  <c:v>19.007999999999999</c:v>
                </c:pt>
                <c:pt idx="100">
                  <c:v>19.2</c:v>
                </c:pt>
                <c:pt idx="101">
                  <c:v>19.391999999999999</c:v>
                </c:pt>
                <c:pt idx="102">
                  <c:v>19.584</c:v>
                </c:pt>
                <c:pt idx="103">
                  <c:v>19.776</c:v>
                </c:pt>
                <c:pt idx="104">
                  <c:v>19.968</c:v>
                </c:pt>
                <c:pt idx="105">
                  <c:v>20.16</c:v>
                </c:pt>
                <c:pt idx="106">
                  <c:v>20.352</c:v>
                </c:pt>
                <c:pt idx="107">
                  <c:v>20.544</c:v>
                </c:pt>
                <c:pt idx="108">
                  <c:v>20.736000000000001</c:v>
                </c:pt>
                <c:pt idx="109">
                  <c:v>20.928000000000001</c:v>
                </c:pt>
                <c:pt idx="110">
                  <c:v>21.12</c:v>
                </c:pt>
                <c:pt idx="111">
                  <c:v>21.312000000000001</c:v>
                </c:pt>
                <c:pt idx="112">
                  <c:v>21.504000000000001</c:v>
                </c:pt>
                <c:pt idx="113">
                  <c:v>21.696000000000002</c:v>
                </c:pt>
                <c:pt idx="114">
                  <c:v>21.888000000000002</c:v>
                </c:pt>
                <c:pt idx="115">
                  <c:v>22.08</c:v>
                </c:pt>
                <c:pt idx="116">
                  <c:v>22.271999999999998</c:v>
                </c:pt>
                <c:pt idx="117">
                  <c:v>22.463999999999999</c:v>
                </c:pt>
                <c:pt idx="118">
                  <c:v>22.655999999999999</c:v>
                </c:pt>
                <c:pt idx="119">
                  <c:v>22.847999999999999</c:v>
                </c:pt>
                <c:pt idx="120">
                  <c:v>23.04</c:v>
                </c:pt>
                <c:pt idx="121">
                  <c:v>23.231999999999999</c:v>
                </c:pt>
                <c:pt idx="122">
                  <c:v>23.423999999999999</c:v>
                </c:pt>
                <c:pt idx="123">
                  <c:v>23.616</c:v>
                </c:pt>
                <c:pt idx="124">
                  <c:v>23.808</c:v>
                </c:pt>
                <c:pt idx="125">
                  <c:v>24</c:v>
                </c:pt>
                <c:pt idx="126">
                  <c:v>24.192</c:v>
                </c:pt>
                <c:pt idx="127">
                  <c:v>24.384</c:v>
                </c:pt>
                <c:pt idx="128">
                  <c:v>24.576000000000001</c:v>
                </c:pt>
                <c:pt idx="129">
                  <c:v>24.768000000000001</c:v>
                </c:pt>
                <c:pt idx="130">
                  <c:v>24.96</c:v>
                </c:pt>
                <c:pt idx="131">
                  <c:v>25.152000000000001</c:v>
                </c:pt>
                <c:pt idx="132">
                  <c:v>25.344000000000001</c:v>
                </c:pt>
                <c:pt idx="133">
                  <c:v>25.536000000000001</c:v>
                </c:pt>
                <c:pt idx="134">
                  <c:v>25.728000000000002</c:v>
                </c:pt>
                <c:pt idx="135">
                  <c:v>25.92</c:v>
                </c:pt>
                <c:pt idx="136">
                  <c:v>26.111999999999998</c:v>
                </c:pt>
                <c:pt idx="137">
                  <c:v>26.303999999999998</c:v>
                </c:pt>
                <c:pt idx="138">
                  <c:v>26.495999999999999</c:v>
                </c:pt>
                <c:pt idx="139">
                  <c:v>26.687999999999999</c:v>
                </c:pt>
                <c:pt idx="140">
                  <c:v>26.88</c:v>
                </c:pt>
                <c:pt idx="141">
                  <c:v>27.071999999999999</c:v>
                </c:pt>
                <c:pt idx="142">
                  <c:v>27.263999999999999</c:v>
                </c:pt>
                <c:pt idx="143">
                  <c:v>27.456</c:v>
                </c:pt>
                <c:pt idx="144">
                  <c:v>27.648</c:v>
                </c:pt>
                <c:pt idx="145">
                  <c:v>27.84</c:v>
                </c:pt>
                <c:pt idx="146">
                  <c:v>28.032</c:v>
                </c:pt>
                <c:pt idx="147">
                  <c:v>28.224</c:v>
                </c:pt>
                <c:pt idx="148">
                  <c:v>28.416</c:v>
                </c:pt>
                <c:pt idx="149">
                  <c:v>28.608000000000001</c:v>
                </c:pt>
                <c:pt idx="150">
                  <c:v>28.8</c:v>
                </c:pt>
                <c:pt idx="151">
                  <c:v>28.992000000000001</c:v>
                </c:pt>
                <c:pt idx="152">
                  <c:v>29.184000000000001</c:v>
                </c:pt>
                <c:pt idx="153">
                  <c:v>29.376000000000001</c:v>
                </c:pt>
                <c:pt idx="154">
                  <c:v>29.568000000000001</c:v>
                </c:pt>
                <c:pt idx="155">
                  <c:v>29.76</c:v>
                </c:pt>
                <c:pt idx="156">
                  <c:v>29.952000000000002</c:v>
                </c:pt>
                <c:pt idx="157">
                  <c:v>30.143999999999998</c:v>
                </c:pt>
                <c:pt idx="158">
                  <c:v>30.335999999999999</c:v>
                </c:pt>
                <c:pt idx="159">
                  <c:v>30.527999999999999</c:v>
                </c:pt>
                <c:pt idx="160">
                  <c:v>30.72</c:v>
                </c:pt>
                <c:pt idx="161">
                  <c:v>30.911999999999999</c:v>
                </c:pt>
                <c:pt idx="162">
                  <c:v>31.103999999999999</c:v>
                </c:pt>
                <c:pt idx="163">
                  <c:v>31.295999999999999</c:v>
                </c:pt>
                <c:pt idx="164">
                  <c:v>31.488</c:v>
                </c:pt>
                <c:pt idx="165">
                  <c:v>31.68</c:v>
                </c:pt>
                <c:pt idx="166">
                  <c:v>31.872</c:v>
                </c:pt>
                <c:pt idx="167">
                  <c:v>32.064</c:v>
                </c:pt>
                <c:pt idx="168">
                  <c:v>32.256</c:v>
                </c:pt>
                <c:pt idx="169">
                  <c:v>32.448</c:v>
                </c:pt>
                <c:pt idx="170">
                  <c:v>32.64</c:v>
                </c:pt>
                <c:pt idx="171">
                  <c:v>32.832000000000001</c:v>
                </c:pt>
                <c:pt idx="172">
                  <c:v>33.024000000000001</c:v>
                </c:pt>
                <c:pt idx="173">
                  <c:v>33.216000000000001</c:v>
                </c:pt>
                <c:pt idx="174">
                  <c:v>33.408000000000001</c:v>
                </c:pt>
                <c:pt idx="175">
                  <c:v>33.6</c:v>
                </c:pt>
                <c:pt idx="176">
                  <c:v>33.792000000000002</c:v>
                </c:pt>
                <c:pt idx="177">
                  <c:v>33.984000000000002</c:v>
                </c:pt>
                <c:pt idx="178">
                  <c:v>34.176000000000002</c:v>
                </c:pt>
                <c:pt idx="179">
                  <c:v>34.368000000000002</c:v>
                </c:pt>
                <c:pt idx="180">
                  <c:v>34.56</c:v>
                </c:pt>
                <c:pt idx="181">
                  <c:v>34.752000000000002</c:v>
                </c:pt>
                <c:pt idx="182">
                  <c:v>34.944000000000003</c:v>
                </c:pt>
                <c:pt idx="183">
                  <c:v>35.136000000000003</c:v>
                </c:pt>
                <c:pt idx="184">
                  <c:v>35.328000000000003</c:v>
                </c:pt>
                <c:pt idx="185">
                  <c:v>35.520000000000003</c:v>
                </c:pt>
                <c:pt idx="186">
                  <c:v>35.712000000000003</c:v>
                </c:pt>
                <c:pt idx="187">
                  <c:v>35.904000000000003</c:v>
                </c:pt>
                <c:pt idx="188">
                  <c:v>36.095999999999997</c:v>
                </c:pt>
                <c:pt idx="189">
                  <c:v>36.287999999999997</c:v>
                </c:pt>
                <c:pt idx="190">
                  <c:v>36.479999999999997</c:v>
                </c:pt>
                <c:pt idx="191">
                  <c:v>36.671999999999997</c:v>
                </c:pt>
                <c:pt idx="192">
                  <c:v>36.863999999999997</c:v>
                </c:pt>
                <c:pt idx="193">
                  <c:v>37.055999999999997</c:v>
                </c:pt>
                <c:pt idx="194">
                  <c:v>37.247999999999998</c:v>
                </c:pt>
                <c:pt idx="195">
                  <c:v>37.44</c:v>
                </c:pt>
                <c:pt idx="196">
                  <c:v>37.631999999999998</c:v>
                </c:pt>
                <c:pt idx="197">
                  <c:v>37.823999999999998</c:v>
                </c:pt>
                <c:pt idx="198">
                  <c:v>38.015999999999998</c:v>
                </c:pt>
                <c:pt idx="199">
                  <c:v>38.207999999999998</c:v>
                </c:pt>
                <c:pt idx="200">
                  <c:v>38.4</c:v>
                </c:pt>
                <c:pt idx="201">
                  <c:v>38.591999999999999</c:v>
                </c:pt>
                <c:pt idx="202">
                  <c:v>38.783999999999999</c:v>
                </c:pt>
                <c:pt idx="203">
                  <c:v>38.9759999999999</c:v>
                </c:pt>
                <c:pt idx="204">
                  <c:v>39.1679999999999</c:v>
                </c:pt>
                <c:pt idx="205">
                  <c:v>39.3599999999999</c:v>
                </c:pt>
                <c:pt idx="206">
                  <c:v>39.5519999999999</c:v>
                </c:pt>
                <c:pt idx="207">
                  <c:v>39.7439999999999</c:v>
                </c:pt>
                <c:pt idx="208">
                  <c:v>39.9359999999999</c:v>
                </c:pt>
                <c:pt idx="209">
                  <c:v>40.127999999999901</c:v>
                </c:pt>
                <c:pt idx="210">
                  <c:v>40.319999999999901</c:v>
                </c:pt>
                <c:pt idx="211">
                  <c:v>40.511999999999901</c:v>
                </c:pt>
                <c:pt idx="212">
                  <c:v>40.703999999999901</c:v>
                </c:pt>
                <c:pt idx="213">
                  <c:v>40.895999999999901</c:v>
                </c:pt>
                <c:pt idx="214">
                  <c:v>41.087999999999901</c:v>
                </c:pt>
                <c:pt idx="215">
                  <c:v>41.279999999999902</c:v>
                </c:pt>
                <c:pt idx="216">
                  <c:v>41.471999999999902</c:v>
                </c:pt>
                <c:pt idx="217">
                  <c:v>41.663999999999902</c:v>
                </c:pt>
                <c:pt idx="218">
                  <c:v>41.855999999999902</c:v>
                </c:pt>
                <c:pt idx="219">
                  <c:v>42.047999999999902</c:v>
                </c:pt>
                <c:pt idx="220">
                  <c:v>42.239999999999903</c:v>
                </c:pt>
                <c:pt idx="221">
                  <c:v>42.431999999999903</c:v>
                </c:pt>
                <c:pt idx="222">
                  <c:v>42.623999999999903</c:v>
                </c:pt>
                <c:pt idx="223">
                  <c:v>42.815999999999903</c:v>
                </c:pt>
                <c:pt idx="224">
                  <c:v>43.007999999999903</c:v>
                </c:pt>
                <c:pt idx="225">
                  <c:v>43.199999999999903</c:v>
                </c:pt>
                <c:pt idx="226">
                  <c:v>43.391999999999904</c:v>
                </c:pt>
                <c:pt idx="227">
                  <c:v>43.583999999999897</c:v>
                </c:pt>
                <c:pt idx="228">
                  <c:v>43.775999999999897</c:v>
                </c:pt>
                <c:pt idx="229">
                  <c:v>43.967999999999897</c:v>
                </c:pt>
                <c:pt idx="230">
                  <c:v>44.159999999999897</c:v>
                </c:pt>
                <c:pt idx="231">
                  <c:v>44.351999999999897</c:v>
                </c:pt>
                <c:pt idx="232">
                  <c:v>44.543999999999897</c:v>
                </c:pt>
                <c:pt idx="233">
                  <c:v>44.735999999999898</c:v>
                </c:pt>
                <c:pt idx="234">
                  <c:v>44.927999999999898</c:v>
                </c:pt>
                <c:pt idx="235">
                  <c:v>45.119999999999898</c:v>
                </c:pt>
                <c:pt idx="236">
                  <c:v>45.311999999999898</c:v>
                </c:pt>
                <c:pt idx="237">
                  <c:v>45.503999999999898</c:v>
                </c:pt>
                <c:pt idx="238">
                  <c:v>45.695999999999898</c:v>
                </c:pt>
                <c:pt idx="239">
                  <c:v>45.887999999999899</c:v>
                </c:pt>
                <c:pt idx="240">
                  <c:v>46.079999999999899</c:v>
                </c:pt>
              </c:numCache>
            </c:numRef>
          </c:xVal>
          <c:yVal>
            <c:numRef>
              <c:f>'Leitura Dados de Vôo'!$F$8:$F$248</c:f>
              <c:numCache>
                <c:formatCode>0.0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C8-4047-9A47-9F3FD52BA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68429248"/>
        <c:axId val="-1668433600"/>
      </c:scatterChart>
      <c:valAx>
        <c:axId val="-1668429248"/>
        <c:scaling>
          <c:orientation val="minMax"/>
          <c:max val="4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68433600"/>
        <c:crosses val="autoZero"/>
        <c:crossBetween val="midCat"/>
        <c:majorUnit val="1"/>
      </c:valAx>
      <c:valAx>
        <c:axId val="-1668433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68429248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19048</xdr:colOff>
      <xdr:row>0</xdr:row>
      <xdr:rowOff>9525</xdr:rowOff>
    </xdr:from>
    <xdr:to>
      <xdr:col>22</xdr:col>
      <xdr:colOff>447674</xdr:colOff>
      <xdr:row>21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5</xdr:row>
          <xdr:rowOff>66675</xdr:rowOff>
        </xdr:from>
        <xdr:to>
          <xdr:col>5</xdr:col>
          <xdr:colOff>333375</xdr:colOff>
          <xdr:row>5</xdr:row>
          <xdr:rowOff>342900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23</xdr:row>
          <xdr:rowOff>161925</xdr:rowOff>
        </xdr:from>
        <xdr:to>
          <xdr:col>11</xdr:col>
          <xdr:colOff>228600</xdr:colOff>
          <xdr:row>25</xdr:row>
          <xdr:rowOff>114300</xdr:rowOff>
        </xdr:to>
        <xdr:sp macro="" textlink="">
          <xdr:nvSpPr>
            <xdr:cNvPr id="3076" name="CommandButton2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5" growShrinkType="overwriteClear" adjustColumnWidth="0" connectionId="90" xr16:uid="{00000000-0016-0000-0100-0000A3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7" growShrinkType="overwriteClear" adjustColumnWidth="0" connectionId="86" xr16:uid="{00000000-0016-0000-0100-0000A2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6" growShrinkType="overwriteClear" adjustColumnWidth="0" connectionId="139" xr16:uid="{00000000-0016-0000-0100-0000A1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6" growShrinkType="overwriteClear" adjustColumnWidth="0" connectionId="63" xr16:uid="{00000000-0016-0000-0100-0000A0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3" growShrinkType="overwriteClear" adjustColumnWidth="0" connectionId="120" xr16:uid="{00000000-0016-0000-0100-00009F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8" growShrinkType="overwriteClear" adjustColumnWidth="0" connectionId="127" xr16:uid="{00000000-0016-0000-0100-00009E00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" growShrinkType="overwriteClear" adjustColumnWidth="0" connectionId="53" xr16:uid="{00000000-0016-0000-0100-00009D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8" growShrinkType="overwriteClear" adjustColumnWidth="0" connectionId="123" xr16:uid="{00000000-0016-0000-0100-00009C00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5" growShrinkType="overwriteClear" adjustColumnWidth="0" connectionId="106" xr16:uid="{00000000-0016-0000-0100-00009B00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3" growShrinkType="overwriteClear" adjustColumnWidth="0" connectionId="13" xr16:uid="{00000000-0016-0000-0100-00009A000000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1" growShrinkType="overwriteClear" adjustColumnWidth="0" connectionId="91" xr16:uid="{00000000-0016-0000-0100-000099000000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2" growShrinkType="overwriteClear" adjustColumnWidth="0" connectionId="59" xr16:uid="{00000000-0016-0000-0100-000098000000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2" growShrinkType="overwriteClear" adjustColumnWidth="0" connectionId="3" xr16:uid="{00000000-0016-0000-0100-000097000000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9" growShrinkType="overwriteClear" adjustColumnWidth="0" connectionId="128" xr16:uid="{00000000-0016-0000-0100-000096000000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6" growShrinkType="overwriteClear" adjustColumnWidth="0" connectionId="107" xr16:uid="{00000000-0016-0000-0100-000095000000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1" growShrinkType="overwriteClear" adjustColumnWidth="0" connectionId="111" xr16:uid="{00000000-0016-0000-0100-000094000000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8" growShrinkType="overwriteClear" adjustColumnWidth="0" connectionId="65" xr16:uid="{00000000-0016-0000-0100-000093000000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4" growShrinkType="overwriteClear" adjustColumnWidth="0" connectionId="42" xr16:uid="{00000000-0016-0000-0100-000092000000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7" growShrinkType="overwriteClear" adjustColumnWidth="0" connectionId="135" xr16:uid="{00000000-0016-0000-0100-000091000000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2" growShrinkType="overwriteClear" adjustColumnWidth="0" connectionId="103" xr16:uid="{00000000-0016-0000-0100-000090000000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1" growShrinkType="overwriteClear" adjustColumnWidth="0" connectionId="12" xr16:uid="{00000000-0016-0000-0100-00008F000000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2" growShrinkType="overwriteClear" adjustColumnWidth="0" connectionId="131" xr16:uid="{00000000-0016-0000-0100-00008E000000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2" growShrinkType="overwriteClear" adjustColumnWidth="0" connectionId="70" xr16:uid="{00000000-0016-0000-0100-00008D000000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3" growShrinkType="overwriteClear" adjustColumnWidth="0" connectionId="60" xr16:uid="{00000000-0016-0000-0100-00008C000000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" growShrinkType="overwriteClear" adjustColumnWidth="0" connectionId="162" xr16:uid="{00000000-0016-0000-0100-00008B000000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3" growShrinkType="overwriteClear" adjustColumnWidth="0" connectionId="58" xr16:uid="{00000000-0016-0000-0100-00008A000000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2" growShrinkType="overwriteClear" adjustColumnWidth="0" connectionId="54" xr16:uid="{00000000-0016-0000-0100-000089000000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4" growShrinkType="overwriteClear" adjustColumnWidth="0" connectionId="5" xr16:uid="{00000000-0016-0000-0100-000088000000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" growShrinkType="overwriteClear" adjustColumnWidth="0" connectionId="1" xr16:uid="{00000000-0016-0000-0100-000087000000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7" growShrinkType="overwriteClear" adjustColumnWidth="0" connectionId="112" xr16:uid="{00000000-0016-0000-0100-000086000000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4" growShrinkType="overwriteClear" adjustColumnWidth="0" connectionId="105" xr16:uid="{00000000-0016-0000-0100-000085000000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2" growShrinkType="overwriteClear" adjustColumnWidth="0" connectionId="14" xr16:uid="{00000000-0016-0000-0100-000084000000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7" growShrinkType="overwriteClear" adjustColumnWidth="0" connectionId="64" xr16:uid="{00000000-0016-0000-0100-000083000000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5" growShrinkType="overwriteClear" adjustColumnWidth="0" connectionId="84" xr16:uid="{00000000-0016-0000-0100-000082000000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3" growShrinkType="overwriteClear" adjustColumnWidth="0" connectionId="82" xr16:uid="{00000000-0016-0000-0100-000081000000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0" growShrinkType="overwriteClear" adjustColumnWidth="0" connectionId="155" xr16:uid="{00000000-0016-0000-0100-000080000000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" growShrinkType="overwriteClear" adjustColumnWidth="0" connectionId="157" xr16:uid="{00000000-0016-0000-0100-00007F000000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" growShrinkType="overwriteClear" adjustColumnWidth="0" connectionId="156" xr16:uid="{00000000-0016-0000-0100-00007E000000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1" growShrinkType="overwriteClear" adjustColumnWidth="0" connectionId="118" xr16:uid="{00000000-0016-0000-0100-00007D000000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6" growShrinkType="overwriteClear" adjustColumnWidth="0" connectionId="28" xr16:uid="{00000000-0016-0000-0100-00007C000000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5" growShrinkType="overwriteClear" adjustColumnWidth="0" connectionId="124" xr16:uid="{00000000-0016-0000-0100-00007B000000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6" growShrinkType="overwriteClear" adjustColumnWidth="0" connectionId="19" xr16:uid="{00000000-0016-0000-0100-00007A000000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5" growShrinkType="overwriteClear" adjustColumnWidth="0" connectionId="150" xr16:uid="{00000000-0016-0000-0100-000079000000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0" growShrinkType="overwriteClear" adjustColumnWidth="0" connectionId="144" xr16:uid="{00000000-0016-0000-0100-000078000000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6" growShrinkType="overwriteClear" adjustColumnWidth="0" connectionId="50" xr16:uid="{00000000-0016-0000-0100-000077000000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9" growShrinkType="overwriteClear" adjustColumnWidth="0" connectionId="116" xr16:uid="{00000000-0016-0000-0100-000076000000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9" growShrinkType="overwriteClear" adjustColumnWidth="0" connectionId="45" xr16:uid="{00000000-0016-0000-0100-000075000000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8" growShrinkType="overwriteClear" adjustColumnWidth="0" connectionId="9" xr16:uid="{00000000-0016-0000-0100-000074000000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0" growShrinkType="overwriteClear" adjustColumnWidth="0" connectionId="21" xr16:uid="{00000000-0016-0000-0100-000073000000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4" growShrinkType="overwriteClear" adjustColumnWidth="0" connectionId="122" xr16:uid="{00000000-0016-0000-0100-000072000000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5" growShrinkType="overwriteClear" adjustColumnWidth="0" connectionId="6" xr16:uid="{00000000-0016-0000-0100-000071000000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2" growShrinkType="overwriteClear" adjustColumnWidth="0" connectionId="92" xr16:uid="{00000000-0016-0000-0100-000070000000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6" growShrinkType="overwriteClear" adjustColumnWidth="0" connectionId="101" xr16:uid="{00000000-0016-0000-0100-00006F000000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5" growShrinkType="overwriteClear" adjustColumnWidth="0" connectionId="43" xr16:uid="{00000000-0016-0000-0100-00006E000000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1" growShrinkType="overwriteClear" adjustColumnWidth="0" connectionId="102" xr16:uid="{00000000-0016-0000-0100-00006D000000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0" growShrinkType="overwriteClear" adjustColumnWidth="0" connectionId="117" xr16:uid="{00000000-0016-0000-0100-00006C000000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1" growShrinkType="overwriteClear" adjustColumnWidth="0" connectionId="36" xr16:uid="{00000000-0016-0000-0100-00006B000000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0" growShrinkType="overwriteClear" adjustColumnWidth="0" connectionId="34" xr16:uid="{00000000-0016-0000-0100-00006A000000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1" growShrinkType="overwriteClear" adjustColumnWidth="0" connectionId="55" xr16:uid="{00000000-0016-0000-0100-000069000000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4" growShrinkType="overwriteClear" adjustColumnWidth="0" connectionId="83" xr16:uid="{00000000-0016-0000-0100-000068000000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3" growShrinkType="overwriteClear" adjustColumnWidth="0" connectionId="15" xr16:uid="{00000000-0016-0000-0100-000067000000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5" growShrinkType="overwriteClear" adjustColumnWidth="0" connectionId="27" xr16:uid="{00000000-0016-0000-0100-000066000000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7" growShrinkType="overwriteClear" adjustColumnWidth="0" connectionId="97" xr16:uid="{00000000-0016-0000-0100-000065000000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" growShrinkType="overwriteClear" adjustColumnWidth="0" connectionId="161" xr16:uid="{00000000-0016-0000-0100-000064000000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7" growShrinkType="overwriteClear" adjustColumnWidth="0" connectionId="152" xr16:uid="{00000000-0016-0000-0100-000063000000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9" growShrinkType="overwriteClear" adjustColumnWidth="0" connectionId="109" xr16:uid="{00000000-0016-0000-0100-000062000000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3" growShrinkType="overwriteClear" adjustColumnWidth="0" connectionId="93" xr16:uid="{00000000-0016-0000-0100-000061000000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8" growShrinkType="overwriteClear" adjustColumnWidth="0" connectionId="140" xr16:uid="{00000000-0016-0000-0100-000060000000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9" growShrinkType="overwriteClear" adjustColumnWidth="0" connectionId="31" xr16:uid="{00000000-0016-0000-0100-00005F000000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1" growShrinkType="overwriteClear" adjustColumnWidth="0" connectionId="37" xr16:uid="{00000000-0016-0000-0100-00005E000000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3" growShrinkType="overwriteClear" adjustColumnWidth="0" connectionId="115" xr16:uid="{00000000-0016-0000-0100-00005D000000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" growShrinkType="overwriteClear" adjustColumnWidth="0" connectionId="2" xr16:uid="{00000000-0016-0000-0100-00005C000000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4" growShrinkType="overwriteClear" adjustColumnWidth="0" connectionId="17" xr16:uid="{00000000-0016-0000-0100-00005B000000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" growShrinkType="overwriteClear" adjustColumnWidth="0" connectionId="160" xr16:uid="{00000000-0016-0000-0100-00005A000000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3" growShrinkType="overwriteClear" adjustColumnWidth="0" connectionId="71" xr16:uid="{00000000-0016-0000-0100-000059000000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7" growShrinkType="overwriteClear" adjustColumnWidth="0" connectionId="35" xr16:uid="{00000000-0016-0000-0100-000058000000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9" growShrinkType="overwriteClear" adjustColumnWidth="0" connectionId="143" xr16:uid="{00000000-0016-0000-0100-000057000000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1" growShrinkType="overwriteClear" adjustColumnWidth="0" connectionId="22" xr16:uid="{00000000-0016-0000-0100-000056000000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4" growShrinkType="overwriteClear" adjustColumnWidth="0" connectionId="61" xr16:uid="{00000000-0016-0000-0100-000055000000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5" growShrinkType="overwriteClear" adjustColumnWidth="0" connectionId="49" xr16:uid="{00000000-0016-0000-0100-000054000000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3" growShrinkType="overwriteClear" adjustColumnWidth="0" connectionId="4" xr16:uid="{00000000-0016-0000-0100-000053000000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6" growShrinkType="overwriteClear" adjustColumnWidth="0" connectionId="74" xr16:uid="{00000000-0016-0000-0100-000052000000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8" growShrinkType="overwriteClear" adjustColumnWidth="0" connectionId="87" xr16:uid="{00000000-0016-0000-0100-000051000000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6" growShrinkType="overwriteClear" adjustColumnWidth="0" connectionId="7" xr16:uid="{00000000-0016-0000-0100-000050000000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1" growShrinkType="overwriteClear" adjustColumnWidth="0" connectionId="130" xr16:uid="{00000000-0016-0000-0100-00004F000000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8" growShrinkType="overwriteClear" adjustColumnWidth="0" connectionId="46" xr16:uid="{00000000-0016-0000-0100-00004E000000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" growShrinkType="overwriteClear" adjustColumnWidth="0" connectionId="163" xr16:uid="{00000000-0016-0000-0100-00004D000000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9" growShrinkType="overwriteClear" adjustColumnWidth="0" connectionId="20" xr16:uid="{00000000-0016-0000-0100-00004C000000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8" growShrinkType="overwriteClear" adjustColumnWidth="0" connectionId="76" xr16:uid="{00000000-0016-0000-0100-00004B000000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0" growShrinkType="overwriteClear" adjustColumnWidth="0" connectionId="67" xr16:uid="{00000000-0016-0000-0100-00004A000000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0" growShrinkType="overwriteClear" adjustColumnWidth="0" connectionId="145" xr16:uid="{00000000-0016-0000-0100-000049000000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2" growShrinkType="overwriteClear" adjustColumnWidth="0" connectionId="57" xr16:uid="{00000000-0016-0000-0100-000048000000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0" growShrinkType="overwriteClear" adjustColumnWidth="0" connectionId="110" xr16:uid="{00000000-0016-0000-0100-000047000000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" growShrinkType="overwriteClear" adjustColumnWidth="0" connectionId="24" xr16:uid="{00000000-0016-0000-0100-000046000000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7" growShrinkType="overwriteClear" adjustColumnWidth="0" connectionId="126" xr16:uid="{00000000-0016-0000-0100-000045000000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2" growShrinkType="overwriteClear" adjustColumnWidth="0" connectionId="23" xr16:uid="{00000000-0016-0000-0100-000044000000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9" growShrinkType="overwriteClear" adjustColumnWidth="0" connectionId="88" xr16:uid="{00000000-0016-0000-0100-000043000000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" growShrinkType="overwriteClear" adjustColumnWidth="0" connectionId="164" xr16:uid="{00000000-0016-0000-0100-000042000000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" growShrinkType="overwriteClear" adjustColumnWidth="0" connectionId="159" xr16:uid="{00000000-0016-0000-0100-000041000000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" growShrinkType="overwriteClear" adjustColumnWidth="0" connectionId="158" xr16:uid="{00000000-0016-0000-0100-000040000000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3" growShrinkType="overwriteClear" adjustColumnWidth="0" connectionId="104" xr16:uid="{00000000-0016-0000-0100-00003F000000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8" growShrinkType="overwriteClear" adjustColumnWidth="0" connectionId="30" xr16:uid="{00000000-0016-0000-0100-00003E000000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9" growShrinkType="overwriteClear" adjustColumnWidth="0" connectionId="134" xr16:uid="{00000000-0016-0000-0100-00003D000000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3" growShrinkType="overwriteClear" adjustColumnWidth="0" connectionId="148" xr16:uid="{00000000-0016-0000-0100-00003C000000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6" growShrinkType="overwriteClear" adjustColumnWidth="0" connectionId="44" xr16:uid="{00000000-0016-0000-0100-00003B000000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5" growShrinkType="overwriteClear" adjustColumnWidth="0" connectionId="62" xr16:uid="{00000000-0016-0000-0100-00003A000000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6" growShrinkType="overwriteClear" adjustColumnWidth="0" connectionId="151" xr16:uid="{00000000-0016-0000-0100-000039000000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7" growShrinkType="overwriteClear" adjustColumnWidth="0" connectionId="141" xr16:uid="{00000000-0016-0000-0100-000038000000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3" growShrinkType="overwriteClear" adjustColumnWidth="0" connectionId="25" xr16:uid="{00000000-0016-0000-0100-000037000000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2" growShrinkType="overwriteClear" adjustColumnWidth="0" connectionId="114" xr16:uid="{00000000-0016-0000-0100-000036000000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8" growShrinkType="overwriteClear" adjustColumnWidth="0" connectionId="41" xr16:uid="{00000000-0016-0000-0100-000035000000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23" growShrinkType="overwriteClear" adjustColumnWidth="0" connectionId="16" xr16:uid="{00000000-0016-0000-0100-000034000000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0" growShrinkType="overwriteClear" adjustColumnWidth="0" connectionId="78" xr16:uid="{00000000-0016-0000-0100-000033000000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0" growShrinkType="overwriteClear" adjustColumnWidth="0" connectionId="51" xr16:uid="{00000000-0016-0000-0100-000032000000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2" growShrinkType="overwriteClear" adjustColumnWidth="0" connectionId="81" xr16:uid="{00000000-0016-0000-0100-000031000000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9" growShrinkType="overwriteClear" adjustColumnWidth="0" connectionId="66" xr16:uid="{00000000-0016-0000-0100-000030000000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9" growShrinkType="overwriteClear" adjustColumnWidth="0" connectionId="77" xr16:uid="{00000000-0016-0000-0100-00002F000000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7" growShrinkType="overwriteClear" adjustColumnWidth="0" connectionId="8" xr16:uid="{00000000-0016-0000-0100-00002E000000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7" growShrinkType="overwriteClear" adjustColumnWidth="0" connectionId="29" xr16:uid="{00000000-0016-0000-0100-00002D000000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1" growShrinkType="overwriteClear" adjustColumnWidth="0" connectionId="56" xr16:uid="{00000000-0016-0000-0100-00002C000000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1" growShrinkType="overwriteClear" adjustColumnWidth="0" connectionId="52" xr16:uid="{00000000-0016-0000-0100-00002B000000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4" growShrinkType="overwriteClear" adjustColumnWidth="0" connectionId="79" xr16:uid="{00000000-0016-0000-0100-00002A000000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3" growShrinkType="overwriteClear" adjustColumnWidth="0" connectionId="38" xr16:uid="{00000000-0016-0000-0100-000029000000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2" growShrinkType="overwriteClear" adjustColumnWidth="0" connectionId="147" xr16:uid="{00000000-0016-0000-0100-000028000000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7" growShrinkType="overwriteClear" adjustColumnWidth="0" connectionId="108" xr16:uid="{00000000-0016-0000-0100-000027000000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6" growShrinkType="overwriteClear" adjustColumnWidth="0" connectionId="96" xr16:uid="{00000000-0016-0000-0100-000026000000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6" growShrinkType="overwriteClear" adjustColumnWidth="0" connectionId="125" xr16:uid="{00000000-0016-0000-0100-000025000000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5" growShrinkType="overwriteClear" adjustColumnWidth="0" connectionId="132" xr16:uid="{00000000-0016-0000-0100-000024000000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4" growShrinkType="overwriteClear" adjustColumnWidth="0" connectionId="94" xr16:uid="{00000000-0016-0000-0100-000023000000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7" growShrinkType="overwriteClear" adjustColumnWidth="0" connectionId="75" xr16:uid="{00000000-0016-0000-0100-000022000000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4" growShrinkType="overwriteClear" adjustColumnWidth="0" connectionId="137" xr16:uid="{00000000-0016-0000-0100-000021000000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9" growShrinkType="overwriteClear" adjustColumnWidth="0" connectionId="39" xr16:uid="{00000000-0016-0000-0100-000020000000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4" growShrinkType="overwriteClear" adjustColumnWidth="0" connectionId="149" xr16:uid="{00000000-0016-0000-0100-00001F000000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3" growShrinkType="overwriteClear" adjustColumnWidth="0" connectionId="136" xr16:uid="{00000000-0016-0000-0100-00001E000000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8" growShrinkType="overwriteClear" adjustColumnWidth="0" connectionId="142" xr16:uid="{00000000-0016-0000-0100-00001D000000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1" growShrinkType="overwriteClear" adjustColumnWidth="0" connectionId="80" xr16:uid="{00000000-0016-0000-0100-00001C000000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4" growShrinkType="overwriteClear" adjustColumnWidth="0" connectionId="47" xr16:uid="{00000000-0016-0000-0100-00001B000000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1" growShrinkType="overwriteClear" adjustColumnWidth="0" connectionId="146" xr16:uid="{00000000-0016-0000-0100-00001A000000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" growShrinkType="overwriteClear" adjustColumnWidth="0" connectionId="48" xr16:uid="{00000000-0016-0000-0100-000019000000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5" growShrinkType="overwriteClear" adjustColumnWidth="0" connectionId="18" xr16:uid="{00000000-0016-0000-0100-000018000000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0" growShrinkType="overwriteClear" adjustColumnWidth="0" connectionId="40" xr16:uid="{00000000-0016-0000-0100-000017000000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5" growShrinkType="overwriteClear" adjustColumnWidth="0" connectionId="95" xr16:uid="{00000000-0016-0000-0100-000016000000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2" growShrinkType="overwriteClear" adjustColumnWidth="0" connectionId="119" xr16:uid="{00000000-0016-0000-0100-000015000000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8" growShrinkType="overwriteClear" adjustColumnWidth="0" connectionId="98" xr16:uid="{00000000-0016-0000-0100-000014000000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5" growShrinkType="overwriteClear" adjustColumnWidth="0" connectionId="138" xr16:uid="{00000000-0016-0000-0100-000013000000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6" growShrinkType="overwriteClear" adjustColumnWidth="0" connectionId="133" xr16:uid="{00000000-0016-0000-0100-000012000000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0" growShrinkType="overwriteClear" adjustColumnWidth="0" connectionId="129" xr16:uid="{00000000-0016-0000-0100-000011000000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38" growShrinkType="overwriteClear" adjustColumnWidth="0" connectionId="32" xr16:uid="{00000000-0016-0000-0100-000010000000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0" growShrinkType="overwriteClear" adjustColumnWidth="0" connectionId="100" xr16:uid="{00000000-0016-0000-0100-00000F000000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0" growShrinkType="overwriteClear" adjustColumnWidth="0" connectionId="89" xr16:uid="{00000000-0016-0000-0100-00000E000000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0" growShrinkType="overwriteClear" adjustColumnWidth="0" connectionId="33" xr16:uid="{00000000-0016-0000-0100-00000D000000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8" growShrinkType="overwriteClear" adjustColumnWidth="0" connectionId="153" xr16:uid="{00000000-0016-0000-0100-00000C000000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9" growShrinkType="overwriteClear" adjustColumnWidth="0" connectionId="154" xr16:uid="{00000000-0016-0000-0100-00000B000000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3" growShrinkType="overwriteClear" adjustColumnWidth="0" connectionId="68" xr16:uid="{00000000-0016-0000-0100-00000A000000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4" growShrinkType="overwriteClear" adjustColumnWidth="0" connectionId="26" xr16:uid="{00000000-0016-0000-0100-000009000000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5" growShrinkType="overwriteClear" adjustColumnWidth="0" connectionId="73" xr16:uid="{00000000-0016-0000-0100-000008000000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8" growShrinkType="overwriteClear" adjustColumnWidth="0" connectionId="113" xr16:uid="{00000000-0016-0000-0100-000007000000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9" growShrinkType="overwriteClear" adjustColumnWidth="0" connectionId="99" xr16:uid="{00000000-0016-0000-0100-000006000000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9" growShrinkType="overwriteClear" adjustColumnWidth="0" connectionId="10" xr16:uid="{00000000-0016-0000-0100-000005000000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0" growShrinkType="overwriteClear" adjustColumnWidth="0" connectionId="11" xr16:uid="{00000000-0016-0000-0100-000004000000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6" growShrinkType="overwriteClear" adjustColumnWidth="0" connectionId="85" xr16:uid="{00000000-0016-0000-0100-000003000000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1" growShrinkType="overwriteClear" adjustColumnWidth="0" connectionId="69" xr16:uid="{00000000-0016-0000-0100-000002000000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4" growShrinkType="overwriteClear" adjustColumnWidth="0" connectionId="121" xr16:uid="{00000000-0016-0000-0100-000001000000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4" growShrinkType="overwriteClear" adjustColumnWidth="0" connectionId="72" xr16:uid="{00000000-0016-0000-01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6F6F6F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9.xml"/><Relationship Id="rId117" Type="http://schemas.openxmlformats.org/officeDocument/2006/relationships/queryTable" Target="../queryTables/queryTable110.xml"/><Relationship Id="rId21" Type="http://schemas.openxmlformats.org/officeDocument/2006/relationships/queryTable" Target="../queryTables/queryTable14.xml"/><Relationship Id="rId42" Type="http://schemas.openxmlformats.org/officeDocument/2006/relationships/queryTable" Target="../queryTables/queryTable35.xml"/><Relationship Id="rId47" Type="http://schemas.openxmlformats.org/officeDocument/2006/relationships/queryTable" Target="../queryTables/queryTable40.xml"/><Relationship Id="rId63" Type="http://schemas.openxmlformats.org/officeDocument/2006/relationships/queryTable" Target="../queryTables/queryTable56.xml"/><Relationship Id="rId68" Type="http://schemas.openxmlformats.org/officeDocument/2006/relationships/queryTable" Target="../queryTables/queryTable61.xml"/><Relationship Id="rId84" Type="http://schemas.openxmlformats.org/officeDocument/2006/relationships/queryTable" Target="../queryTables/queryTable77.xml"/><Relationship Id="rId89" Type="http://schemas.openxmlformats.org/officeDocument/2006/relationships/queryTable" Target="../queryTables/queryTable82.xml"/><Relationship Id="rId112" Type="http://schemas.openxmlformats.org/officeDocument/2006/relationships/queryTable" Target="../queryTables/queryTable105.xml"/><Relationship Id="rId133" Type="http://schemas.openxmlformats.org/officeDocument/2006/relationships/queryTable" Target="../queryTables/queryTable126.xml"/><Relationship Id="rId138" Type="http://schemas.openxmlformats.org/officeDocument/2006/relationships/queryTable" Target="../queryTables/queryTable131.xml"/><Relationship Id="rId154" Type="http://schemas.openxmlformats.org/officeDocument/2006/relationships/queryTable" Target="../queryTables/queryTable147.xml"/><Relationship Id="rId159" Type="http://schemas.openxmlformats.org/officeDocument/2006/relationships/queryTable" Target="../queryTables/queryTable152.xml"/><Relationship Id="rId170" Type="http://schemas.openxmlformats.org/officeDocument/2006/relationships/queryTable" Target="../queryTables/queryTable163.xml"/><Relationship Id="rId16" Type="http://schemas.openxmlformats.org/officeDocument/2006/relationships/queryTable" Target="../queryTables/queryTable9.xml"/><Relationship Id="rId107" Type="http://schemas.openxmlformats.org/officeDocument/2006/relationships/queryTable" Target="../queryTables/queryTable100.xml"/><Relationship Id="rId11" Type="http://schemas.openxmlformats.org/officeDocument/2006/relationships/queryTable" Target="../queryTables/queryTable4.xml"/><Relationship Id="rId32" Type="http://schemas.openxmlformats.org/officeDocument/2006/relationships/queryTable" Target="../queryTables/queryTable25.xml"/><Relationship Id="rId37" Type="http://schemas.openxmlformats.org/officeDocument/2006/relationships/queryTable" Target="../queryTables/queryTable30.xml"/><Relationship Id="rId53" Type="http://schemas.openxmlformats.org/officeDocument/2006/relationships/queryTable" Target="../queryTables/queryTable46.xml"/><Relationship Id="rId58" Type="http://schemas.openxmlformats.org/officeDocument/2006/relationships/queryTable" Target="../queryTables/queryTable51.xml"/><Relationship Id="rId74" Type="http://schemas.openxmlformats.org/officeDocument/2006/relationships/queryTable" Target="../queryTables/queryTable67.xml"/><Relationship Id="rId79" Type="http://schemas.openxmlformats.org/officeDocument/2006/relationships/queryTable" Target="../queryTables/queryTable72.xml"/><Relationship Id="rId102" Type="http://schemas.openxmlformats.org/officeDocument/2006/relationships/queryTable" Target="../queryTables/queryTable95.xml"/><Relationship Id="rId123" Type="http://schemas.openxmlformats.org/officeDocument/2006/relationships/queryTable" Target="../queryTables/queryTable116.xml"/><Relationship Id="rId128" Type="http://schemas.openxmlformats.org/officeDocument/2006/relationships/queryTable" Target="../queryTables/queryTable121.xml"/><Relationship Id="rId144" Type="http://schemas.openxmlformats.org/officeDocument/2006/relationships/queryTable" Target="../queryTables/queryTable137.xml"/><Relationship Id="rId149" Type="http://schemas.openxmlformats.org/officeDocument/2006/relationships/queryTable" Target="../queryTables/queryTable142.xml"/><Relationship Id="rId5" Type="http://schemas.openxmlformats.org/officeDocument/2006/relationships/image" Target="../media/image1.emf"/><Relationship Id="rId90" Type="http://schemas.openxmlformats.org/officeDocument/2006/relationships/queryTable" Target="../queryTables/queryTable83.xml"/><Relationship Id="rId95" Type="http://schemas.openxmlformats.org/officeDocument/2006/relationships/queryTable" Target="../queryTables/queryTable88.xml"/><Relationship Id="rId160" Type="http://schemas.openxmlformats.org/officeDocument/2006/relationships/queryTable" Target="../queryTables/queryTable153.xml"/><Relationship Id="rId165" Type="http://schemas.openxmlformats.org/officeDocument/2006/relationships/queryTable" Target="../queryTables/queryTable158.xml"/><Relationship Id="rId22" Type="http://schemas.openxmlformats.org/officeDocument/2006/relationships/queryTable" Target="../queryTables/queryTable15.xml"/><Relationship Id="rId27" Type="http://schemas.openxmlformats.org/officeDocument/2006/relationships/queryTable" Target="../queryTables/queryTable20.xml"/><Relationship Id="rId43" Type="http://schemas.openxmlformats.org/officeDocument/2006/relationships/queryTable" Target="../queryTables/queryTable36.xml"/><Relationship Id="rId48" Type="http://schemas.openxmlformats.org/officeDocument/2006/relationships/queryTable" Target="../queryTables/queryTable41.xml"/><Relationship Id="rId64" Type="http://schemas.openxmlformats.org/officeDocument/2006/relationships/queryTable" Target="../queryTables/queryTable57.xml"/><Relationship Id="rId69" Type="http://schemas.openxmlformats.org/officeDocument/2006/relationships/queryTable" Target="../queryTables/queryTable62.xml"/><Relationship Id="rId113" Type="http://schemas.openxmlformats.org/officeDocument/2006/relationships/queryTable" Target="../queryTables/queryTable106.xml"/><Relationship Id="rId118" Type="http://schemas.openxmlformats.org/officeDocument/2006/relationships/queryTable" Target="../queryTables/queryTable111.xml"/><Relationship Id="rId134" Type="http://schemas.openxmlformats.org/officeDocument/2006/relationships/queryTable" Target="../queryTables/queryTable127.xml"/><Relationship Id="rId139" Type="http://schemas.openxmlformats.org/officeDocument/2006/relationships/queryTable" Target="../queryTables/queryTable132.xml"/><Relationship Id="rId80" Type="http://schemas.openxmlformats.org/officeDocument/2006/relationships/queryTable" Target="../queryTables/queryTable73.xml"/><Relationship Id="rId85" Type="http://schemas.openxmlformats.org/officeDocument/2006/relationships/queryTable" Target="../queryTables/queryTable78.xml"/><Relationship Id="rId150" Type="http://schemas.openxmlformats.org/officeDocument/2006/relationships/queryTable" Target="../queryTables/queryTable143.xml"/><Relationship Id="rId155" Type="http://schemas.openxmlformats.org/officeDocument/2006/relationships/queryTable" Target="../queryTables/queryTable148.xml"/><Relationship Id="rId171" Type="http://schemas.openxmlformats.org/officeDocument/2006/relationships/queryTable" Target="../queryTables/queryTable164.xml"/><Relationship Id="rId12" Type="http://schemas.openxmlformats.org/officeDocument/2006/relationships/queryTable" Target="../queryTables/queryTable5.xml"/><Relationship Id="rId17" Type="http://schemas.openxmlformats.org/officeDocument/2006/relationships/queryTable" Target="../queryTables/queryTable10.xml"/><Relationship Id="rId33" Type="http://schemas.openxmlformats.org/officeDocument/2006/relationships/queryTable" Target="../queryTables/queryTable26.xml"/><Relationship Id="rId38" Type="http://schemas.openxmlformats.org/officeDocument/2006/relationships/queryTable" Target="../queryTables/queryTable31.xml"/><Relationship Id="rId59" Type="http://schemas.openxmlformats.org/officeDocument/2006/relationships/queryTable" Target="../queryTables/queryTable52.xml"/><Relationship Id="rId103" Type="http://schemas.openxmlformats.org/officeDocument/2006/relationships/queryTable" Target="../queryTables/queryTable96.xml"/><Relationship Id="rId108" Type="http://schemas.openxmlformats.org/officeDocument/2006/relationships/queryTable" Target="../queryTables/queryTable101.xml"/><Relationship Id="rId124" Type="http://schemas.openxmlformats.org/officeDocument/2006/relationships/queryTable" Target="../queryTables/queryTable117.xml"/><Relationship Id="rId129" Type="http://schemas.openxmlformats.org/officeDocument/2006/relationships/queryTable" Target="../queryTables/queryTable122.xml"/><Relationship Id="rId54" Type="http://schemas.openxmlformats.org/officeDocument/2006/relationships/queryTable" Target="../queryTables/queryTable47.xml"/><Relationship Id="rId70" Type="http://schemas.openxmlformats.org/officeDocument/2006/relationships/queryTable" Target="../queryTables/queryTable63.xml"/><Relationship Id="rId75" Type="http://schemas.openxmlformats.org/officeDocument/2006/relationships/queryTable" Target="../queryTables/queryTable68.xml"/><Relationship Id="rId91" Type="http://schemas.openxmlformats.org/officeDocument/2006/relationships/queryTable" Target="../queryTables/queryTable84.xml"/><Relationship Id="rId96" Type="http://schemas.openxmlformats.org/officeDocument/2006/relationships/queryTable" Target="../queryTables/queryTable89.xml"/><Relationship Id="rId140" Type="http://schemas.openxmlformats.org/officeDocument/2006/relationships/queryTable" Target="../queryTables/queryTable133.xml"/><Relationship Id="rId145" Type="http://schemas.openxmlformats.org/officeDocument/2006/relationships/queryTable" Target="../queryTables/queryTable138.xml"/><Relationship Id="rId161" Type="http://schemas.openxmlformats.org/officeDocument/2006/relationships/queryTable" Target="../queryTables/queryTable154.xml"/><Relationship Id="rId166" Type="http://schemas.openxmlformats.org/officeDocument/2006/relationships/queryTable" Target="../queryTables/queryTable15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5" Type="http://schemas.openxmlformats.org/officeDocument/2006/relationships/queryTable" Target="../queryTables/queryTable8.xml"/><Relationship Id="rId23" Type="http://schemas.openxmlformats.org/officeDocument/2006/relationships/queryTable" Target="../queryTables/queryTable16.xml"/><Relationship Id="rId28" Type="http://schemas.openxmlformats.org/officeDocument/2006/relationships/queryTable" Target="../queryTables/queryTable21.xml"/><Relationship Id="rId36" Type="http://schemas.openxmlformats.org/officeDocument/2006/relationships/queryTable" Target="../queryTables/queryTable29.xml"/><Relationship Id="rId49" Type="http://schemas.openxmlformats.org/officeDocument/2006/relationships/queryTable" Target="../queryTables/queryTable42.xml"/><Relationship Id="rId57" Type="http://schemas.openxmlformats.org/officeDocument/2006/relationships/queryTable" Target="../queryTables/queryTable50.xml"/><Relationship Id="rId106" Type="http://schemas.openxmlformats.org/officeDocument/2006/relationships/queryTable" Target="../queryTables/queryTable99.xml"/><Relationship Id="rId114" Type="http://schemas.openxmlformats.org/officeDocument/2006/relationships/queryTable" Target="../queryTables/queryTable107.xml"/><Relationship Id="rId119" Type="http://schemas.openxmlformats.org/officeDocument/2006/relationships/queryTable" Target="../queryTables/queryTable112.xml"/><Relationship Id="rId127" Type="http://schemas.openxmlformats.org/officeDocument/2006/relationships/queryTable" Target="../queryTables/queryTable120.xml"/><Relationship Id="rId10" Type="http://schemas.openxmlformats.org/officeDocument/2006/relationships/queryTable" Target="../queryTables/queryTable3.xml"/><Relationship Id="rId31" Type="http://schemas.openxmlformats.org/officeDocument/2006/relationships/queryTable" Target="../queryTables/queryTable24.xml"/><Relationship Id="rId44" Type="http://schemas.openxmlformats.org/officeDocument/2006/relationships/queryTable" Target="../queryTables/queryTable37.xml"/><Relationship Id="rId52" Type="http://schemas.openxmlformats.org/officeDocument/2006/relationships/queryTable" Target="../queryTables/queryTable45.xml"/><Relationship Id="rId60" Type="http://schemas.openxmlformats.org/officeDocument/2006/relationships/queryTable" Target="../queryTables/queryTable53.xml"/><Relationship Id="rId65" Type="http://schemas.openxmlformats.org/officeDocument/2006/relationships/queryTable" Target="../queryTables/queryTable58.xml"/><Relationship Id="rId73" Type="http://schemas.openxmlformats.org/officeDocument/2006/relationships/queryTable" Target="../queryTables/queryTable66.xml"/><Relationship Id="rId78" Type="http://schemas.openxmlformats.org/officeDocument/2006/relationships/queryTable" Target="../queryTables/queryTable71.xml"/><Relationship Id="rId81" Type="http://schemas.openxmlformats.org/officeDocument/2006/relationships/queryTable" Target="../queryTables/queryTable74.xml"/><Relationship Id="rId86" Type="http://schemas.openxmlformats.org/officeDocument/2006/relationships/queryTable" Target="../queryTables/queryTable79.xml"/><Relationship Id="rId94" Type="http://schemas.openxmlformats.org/officeDocument/2006/relationships/queryTable" Target="../queryTables/queryTable87.xml"/><Relationship Id="rId99" Type="http://schemas.openxmlformats.org/officeDocument/2006/relationships/queryTable" Target="../queryTables/queryTable92.xml"/><Relationship Id="rId101" Type="http://schemas.openxmlformats.org/officeDocument/2006/relationships/queryTable" Target="../queryTables/queryTable94.xml"/><Relationship Id="rId122" Type="http://schemas.openxmlformats.org/officeDocument/2006/relationships/queryTable" Target="../queryTables/queryTable115.xml"/><Relationship Id="rId130" Type="http://schemas.openxmlformats.org/officeDocument/2006/relationships/queryTable" Target="../queryTables/queryTable123.xml"/><Relationship Id="rId135" Type="http://schemas.openxmlformats.org/officeDocument/2006/relationships/queryTable" Target="../queryTables/queryTable128.xml"/><Relationship Id="rId143" Type="http://schemas.openxmlformats.org/officeDocument/2006/relationships/queryTable" Target="../queryTables/queryTable136.xml"/><Relationship Id="rId148" Type="http://schemas.openxmlformats.org/officeDocument/2006/relationships/queryTable" Target="../queryTables/queryTable141.xml"/><Relationship Id="rId151" Type="http://schemas.openxmlformats.org/officeDocument/2006/relationships/queryTable" Target="../queryTables/queryTable144.xml"/><Relationship Id="rId156" Type="http://schemas.openxmlformats.org/officeDocument/2006/relationships/queryTable" Target="../queryTables/queryTable149.xml"/><Relationship Id="rId164" Type="http://schemas.openxmlformats.org/officeDocument/2006/relationships/queryTable" Target="../queryTables/queryTable157.xml"/><Relationship Id="rId169" Type="http://schemas.openxmlformats.org/officeDocument/2006/relationships/queryTable" Target="../queryTables/queryTable162.xml"/><Relationship Id="rId4" Type="http://schemas.openxmlformats.org/officeDocument/2006/relationships/control" Target="../activeX/activeX1.xml"/><Relationship Id="rId9" Type="http://schemas.openxmlformats.org/officeDocument/2006/relationships/queryTable" Target="../queryTables/queryTable2.xml"/><Relationship Id="rId13" Type="http://schemas.openxmlformats.org/officeDocument/2006/relationships/queryTable" Target="../queryTables/queryTable6.xml"/><Relationship Id="rId18" Type="http://schemas.openxmlformats.org/officeDocument/2006/relationships/queryTable" Target="../queryTables/queryTable11.xml"/><Relationship Id="rId39" Type="http://schemas.openxmlformats.org/officeDocument/2006/relationships/queryTable" Target="../queryTables/queryTable32.xml"/><Relationship Id="rId109" Type="http://schemas.openxmlformats.org/officeDocument/2006/relationships/queryTable" Target="../queryTables/queryTable102.xml"/><Relationship Id="rId34" Type="http://schemas.openxmlformats.org/officeDocument/2006/relationships/queryTable" Target="../queryTables/queryTable27.xml"/><Relationship Id="rId50" Type="http://schemas.openxmlformats.org/officeDocument/2006/relationships/queryTable" Target="../queryTables/queryTable43.xml"/><Relationship Id="rId55" Type="http://schemas.openxmlformats.org/officeDocument/2006/relationships/queryTable" Target="../queryTables/queryTable48.xml"/><Relationship Id="rId76" Type="http://schemas.openxmlformats.org/officeDocument/2006/relationships/queryTable" Target="../queryTables/queryTable69.xml"/><Relationship Id="rId97" Type="http://schemas.openxmlformats.org/officeDocument/2006/relationships/queryTable" Target="../queryTables/queryTable90.xml"/><Relationship Id="rId104" Type="http://schemas.openxmlformats.org/officeDocument/2006/relationships/queryTable" Target="../queryTables/queryTable97.xml"/><Relationship Id="rId120" Type="http://schemas.openxmlformats.org/officeDocument/2006/relationships/queryTable" Target="../queryTables/queryTable113.xml"/><Relationship Id="rId125" Type="http://schemas.openxmlformats.org/officeDocument/2006/relationships/queryTable" Target="../queryTables/queryTable118.xml"/><Relationship Id="rId141" Type="http://schemas.openxmlformats.org/officeDocument/2006/relationships/queryTable" Target="../queryTables/queryTable134.xml"/><Relationship Id="rId146" Type="http://schemas.openxmlformats.org/officeDocument/2006/relationships/queryTable" Target="../queryTables/queryTable139.xml"/><Relationship Id="rId167" Type="http://schemas.openxmlformats.org/officeDocument/2006/relationships/queryTable" Target="../queryTables/queryTable160.xml"/><Relationship Id="rId7" Type="http://schemas.openxmlformats.org/officeDocument/2006/relationships/image" Target="../media/image2.emf"/><Relationship Id="rId71" Type="http://schemas.openxmlformats.org/officeDocument/2006/relationships/queryTable" Target="../queryTables/queryTable64.xml"/><Relationship Id="rId92" Type="http://schemas.openxmlformats.org/officeDocument/2006/relationships/queryTable" Target="../queryTables/queryTable85.xml"/><Relationship Id="rId162" Type="http://schemas.openxmlformats.org/officeDocument/2006/relationships/queryTable" Target="../queryTables/queryTable155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22.xml"/><Relationship Id="rId24" Type="http://schemas.openxmlformats.org/officeDocument/2006/relationships/queryTable" Target="../queryTables/queryTable17.xml"/><Relationship Id="rId40" Type="http://schemas.openxmlformats.org/officeDocument/2006/relationships/queryTable" Target="../queryTables/queryTable33.xml"/><Relationship Id="rId45" Type="http://schemas.openxmlformats.org/officeDocument/2006/relationships/queryTable" Target="../queryTables/queryTable38.xml"/><Relationship Id="rId66" Type="http://schemas.openxmlformats.org/officeDocument/2006/relationships/queryTable" Target="../queryTables/queryTable59.xml"/><Relationship Id="rId87" Type="http://schemas.openxmlformats.org/officeDocument/2006/relationships/queryTable" Target="../queryTables/queryTable80.xml"/><Relationship Id="rId110" Type="http://schemas.openxmlformats.org/officeDocument/2006/relationships/queryTable" Target="../queryTables/queryTable103.xml"/><Relationship Id="rId115" Type="http://schemas.openxmlformats.org/officeDocument/2006/relationships/queryTable" Target="../queryTables/queryTable108.xml"/><Relationship Id="rId131" Type="http://schemas.openxmlformats.org/officeDocument/2006/relationships/queryTable" Target="../queryTables/queryTable124.xml"/><Relationship Id="rId136" Type="http://schemas.openxmlformats.org/officeDocument/2006/relationships/queryTable" Target="../queryTables/queryTable129.xml"/><Relationship Id="rId157" Type="http://schemas.openxmlformats.org/officeDocument/2006/relationships/queryTable" Target="../queryTables/queryTable150.xml"/><Relationship Id="rId61" Type="http://schemas.openxmlformats.org/officeDocument/2006/relationships/queryTable" Target="../queryTables/queryTable54.xml"/><Relationship Id="rId82" Type="http://schemas.openxmlformats.org/officeDocument/2006/relationships/queryTable" Target="../queryTables/queryTable75.xml"/><Relationship Id="rId152" Type="http://schemas.openxmlformats.org/officeDocument/2006/relationships/queryTable" Target="../queryTables/queryTable145.xml"/><Relationship Id="rId19" Type="http://schemas.openxmlformats.org/officeDocument/2006/relationships/queryTable" Target="../queryTables/queryTable12.xml"/><Relationship Id="rId14" Type="http://schemas.openxmlformats.org/officeDocument/2006/relationships/queryTable" Target="../queryTables/queryTable7.xml"/><Relationship Id="rId30" Type="http://schemas.openxmlformats.org/officeDocument/2006/relationships/queryTable" Target="../queryTables/queryTable23.xml"/><Relationship Id="rId35" Type="http://schemas.openxmlformats.org/officeDocument/2006/relationships/queryTable" Target="../queryTables/queryTable28.xml"/><Relationship Id="rId56" Type="http://schemas.openxmlformats.org/officeDocument/2006/relationships/queryTable" Target="../queryTables/queryTable49.xml"/><Relationship Id="rId77" Type="http://schemas.openxmlformats.org/officeDocument/2006/relationships/queryTable" Target="../queryTables/queryTable70.xml"/><Relationship Id="rId100" Type="http://schemas.openxmlformats.org/officeDocument/2006/relationships/queryTable" Target="../queryTables/queryTable93.xml"/><Relationship Id="rId105" Type="http://schemas.openxmlformats.org/officeDocument/2006/relationships/queryTable" Target="../queryTables/queryTable98.xml"/><Relationship Id="rId126" Type="http://schemas.openxmlformats.org/officeDocument/2006/relationships/queryTable" Target="../queryTables/queryTable119.xml"/><Relationship Id="rId147" Type="http://schemas.openxmlformats.org/officeDocument/2006/relationships/queryTable" Target="../queryTables/queryTable140.xml"/><Relationship Id="rId168" Type="http://schemas.openxmlformats.org/officeDocument/2006/relationships/queryTable" Target="../queryTables/queryTable161.xml"/><Relationship Id="rId8" Type="http://schemas.openxmlformats.org/officeDocument/2006/relationships/queryTable" Target="../queryTables/queryTable1.xml"/><Relationship Id="rId51" Type="http://schemas.openxmlformats.org/officeDocument/2006/relationships/queryTable" Target="../queryTables/queryTable44.xml"/><Relationship Id="rId72" Type="http://schemas.openxmlformats.org/officeDocument/2006/relationships/queryTable" Target="../queryTables/queryTable65.xml"/><Relationship Id="rId93" Type="http://schemas.openxmlformats.org/officeDocument/2006/relationships/queryTable" Target="../queryTables/queryTable86.xml"/><Relationship Id="rId98" Type="http://schemas.openxmlformats.org/officeDocument/2006/relationships/queryTable" Target="../queryTables/queryTable91.xml"/><Relationship Id="rId121" Type="http://schemas.openxmlformats.org/officeDocument/2006/relationships/queryTable" Target="../queryTables/queryTable114.xml"/><Relationship Id="rId142" Type="http://schemas.openxmlformats.org/officeDocument/2006/relationships/queryTable" Target="../queryTables/queryTable135.xml"/><Relationship Id="rId163" Type="http://schemas.openxmlformats.org/officeDocument/2006/relationships/queryTable" Target="../queryTables/queryTable156.xml"/><Relationship Id="rId3" Type="http://schemas.openxmlformats.org/officeDocument/2006/relationships/vmlDrawing" Target="../drawings/vmlDrawing1.vml"/><Relationship Id="rId25" Type="http://schemas.openxmlformats.org/officeDocument/2006/relationships/queryTable" Target="../queryTables/queryTable18.xml"/><Relationship Id="rId46" Type="http://schemas.openxmlformats.org/officeDocument/2006/relationships/queryTable" Target="../queryTables/queryTable39.xml"/><Relationship Id="rId67" Type="http://schemas.openxmlformats.org/officeDocument/2006/relationships/queryTable" Target="../queryTables/queryTable60.xml"/><Relationship Id="rId116" Type="http://schemas.openxmlformats.org/officeDocument/2006/relationships/queryTable" Target="../queryTables/queryTable109.xml"/><Relationship Id="rId137" Type="http://schemas.openxmlformats.org/officeDocument/2006/relationships/queryTable" Target="../queryTables/queryTable130.xml"/><Relationship Id="rId158" Type="http://schemas.openxmlformats.org/officeDocument/2006/relationships/queryTable" Target="../queryTables/queryTable151.xml"/><Relationship Id="rId20" Type="http://schemas.openxmlformats.org/officeDocument/2006/relationships/queryTable" Target="../queryTables/queryTable13.xml"/><Relationship Id="rId41" Type="http://schemas.openxmlformats.org/officeDocument/2006/relationships/queryTable" Target="../queryTables/queryTable34.xml"/><Relationship Id="rId62" Type="http://schemas.openxmlformats.org/officeDocument/2006/relationships/queryTable" Target="../queryTables/queryTable55.xml"/><Relationship Id="rId83" Type="http://schemas.openxmlformats.org/officeDocument/2006/relationships/queryTable" Target="../queryTables/queryTable76.xml"/><Relationship Id="rId88" Type="http://schemas.openxmlformats.org/officeDocument/2006/relationships/queryTable" Target="../queryTables/queryTable81.xml"/><Relationship Id="rId111" Type="http://schemas.openxmlformats.org/officeDocument/2006/relationships/queryTable" Target="../queryTables/queryTable104.xml"/><Relationship Id="rId132" Type="http://schemas.openxmlformats.org/officeDocument/2006/relationships/queryTable" Target="../queryTables/queryTable125.xml"/><Relationship Id="rId153" Type="http://schemas.openxmlformats.org/officeDocument/2006/relationships/queryTable" Target="../queryTables/queryTable14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2:D19"/>
  <sheetViews>
    <sheetView workbookViewId="0">
      <selection activeCell="B4" sqref="B4"/>
    </sheetView>
  </sheetViews>
  <sheetFormatPr defaultRowHeight="15" x14ac:dyDescent="0.25"/>
  <sheetData>
    <row r="2" spans="1:4" ht="15.75" thickBot="1" x14ac:dyDescent="0.3">
      <c r="A2" s="42" t="s">
        <v>24</v>
      </c>
      <c r="B2" s="42"/>
    </row>
    <row r="3" spans="1:4" ht="15.75" thickBot="1" x14ac:dyDescent="0.3">
      <c r="A3" t="s">
        <v>0</v>
      </c>
      <c r="B3" s="1">
        <v>101523</v>
      </c>
      <c r="D3">
        <f>101325-1.2</f>
        <v>101323.8</v>
      </c>
    </row>
    <row r="4" spans="1:4" x14ac:dyDescent="0.25">
      <c r="A4" t="s">
        <v>1</v>
      </c>
      <c r="B4" s="2">
        <f>($B$9/$B$10)*((POWER(B3/$B$14,(-$B$11*$B$10)/($B$12*$B$13)))-1)</f>
        <v>-16.468930587869671</v>
      </c>
    </row>
    <row r="5" spans="1:4" ht="15.75" thickBot="1" x14ac:dyDescent="0.3"/>
    <row r="6" spans="1:4" ht="15.75" thickBot="1" x14ac:dyDescent="0.3">
      <c r="A6" t="s">
        <v>2</v>
      </c>
      <c r="B6" s="1">
        <v>950</v>
      </c>
    </row>
    <row r="7" spans="1:4" x14ac:dyDescent="0.25">
      <c r="A7" t="s">
        <v>3</v>
      </c>
      <c r="B7" s="3">
        <f>B14*EXP(-B12*B13*B6/(B11*B9))</f>
        <v>90531.761188046949</v>
      </c>
    </row>
    <row r="9" spans="1:4" x14ac:dyDescent="0.25">
      <c r="A9" t="s">
        <v>4</v>
      </c>
      <c r="B9">
        <f>273.15+C9</f>
        <v>288.14999999999998</v>
      </c>
      <c r="C9">
        <v>15</v>
      </c>
    </row>
    <row r="10" spans="1:4" x14ac:dyDescent="0.25">
      <c r="A10" t="s">
        <v>6</v>
      </c>
      <c r="B10">
        <v>-6.4999999999999997E-3</v>
      </c>
    </row>
    <row r="11" spans="1:4" x14ac:dyDescent="0.25">
      <c r="A11" t="s">
        <v>8</v>
      </c>
      <c r="B11">
        <v>8.3143200000000004</v>
      </c>
    </row>
    <row r="12" spans="1:4" x14ac:dyDescent="0.25">
      <c r="A12" t="s">
        <v>10</v>
      </c>
      <c r="B12">
        <v>9.8066499999999994</v>
      </c>
    </row>
    <row r="13" spans="1:4" x14ac:dyDescent="0.25">
      <c r="A13" t="s">
        <v>12</v>
      </c>
      <c r="B13">
        <v>2.8964400000000001E-2</v>
      </c>
    </row>
    <row r="14" spans="1:4" x14ac:dyDescent="0.25">
      <c r="A14" t="s">
        <v>13</v>
      </c>
      <c r="B14">
        <v>101325</v>
      </c>
    </row>
    <row r="16" spans="1:4" x14ac:dyDescent="0.25">
      <c r="A16" t="s">
        <v>5</v>
      </c>
      <c r="B16">
        <v>44307</v>
      </c>
    </row>
    <row r="17" spans="1:2" x14ac:dyDescent="0.25">
      <c r="A17" t="s">
        <v>7</v>
      </c>
      <c r="B17">
        <v>0.21190000000000001</v>
      </c>
    </row>
    <row r="18" spans="1:2" x14ac:dyDescent="0.25">
      <c r="A18" t="s">
        <v>9</v>
      </c>
      <c r="B18">
        <v>44330</v>
      </c>
    </row>
    <row r="19" spans="1:2" x14ac:dyDescent="0.25">
      <c r="A19" t="s">
        <v>11</v>
      </c>
      <c r="B19">
        <v>0.1903</v>
      </c>
    </row>
  </sheetData>
  <mergeCells count="1">
    <mergeCell ref="A2:B2"/>
  </mergeCells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BH248"/>
  <sheetViews>
    <sheetView tabSelected="1" zoomScaleNormal="100" workbookViewId="0">
      <selection activeCell="S31" sqref="S31"/>
    </sheetView>
  </sheetViews>
  <sheetFormatPr defaultRowHeight="15" x14ac:dyDescent="0.25"/>
  <cols>
    <col min="1" max="1" width="9.5703125" customWidth="1"/>
    <col min="2" max="2" width="1.5703125" customWidth="1"/>
    <col min="3" max="3" width="10.5703125" customWidth="1"/>
    <col min="4" max="4" width="16.140625" customWidth="1"/>
    <col min="5" max="6" width="10.5703125" customWidth="1"/>
    <col min="7" max="7" width="1.5703125" style="5" customWidth="1"/>
    <col min="8" max="8" width="7.140625" customWidth="1"/>
    <col min="21" max="21" width="1.5703125" customWidth="1"/>
  </cols>
  <sheetData>
    <row r="1" spans="1:56" ht="15.75" thickBot="1" x14ac:dyDescent="0.3">
      <c r="A1" s="45" t="s">
        <v>23</v>
      </c>
      <c r="B1" s="46"/>
      <c r="C1" s="21"/>
      <c r="D1" s="28" t="s">
        <v>15</v>
      </c>
      <c r="E1" s="41"/>
      <c r="F1" s="35"/>
      <c r="G1" s="35"/>
    </row>
    <row r="2" spans="1:56" ht="16.5" thickTop="1" thickBot="1" x14ac:dyDescent="0.3">
      <c r="A2" s="47"/>
      <c r="B2" s="48"/>
      <c r="C2" s="48"/>
      <c r="D2" s="23"/>
      <c r="E2" s="26" t="s">
        <v>14</v>
      </c>
      <c r="F2" s="37"/>
    </row>
    <row r="3" spans="1:56" x14ac:dyDescent="0.25">
      <c r="A3" s="49" t="s">
        <v>16</v>
      </c>
      <c r="B3" s="50"/>
      <c r="C3" s="50"/>
      <c r="D3" s="8" t="s">
        <v>27</v>
      </c>
      <c r="E3" s="25" t="e">
        <f>IF(D3&lt;&gt;0,('Modelo Atmosférico'!$B$9/'Modelo Atmosférico'!$B$10)*((POWER(D3/'Modelo Atmosférico'!$B$14,(-'Modelo Atmosférico'!$B$11*'Modelo Atmosférico'!$B$10)/('Modelo Atmosférico'!$B$12*'Modelo Atmosférico'!$B$13)))-1),0)</f>
        <v>#VALUE!</v>
      </c>
      <c r="F3" s="38" t="s">
        <v>18</v>
      </c>
    </row>
    <row r="4" spans="1:56" x14ac:dyDescent="0.25">
      <c r="A4" s="49" t="s">
        <v>17</v>
      </c>
      <c r="B4" s="50"/>
      <c r="C4" s="50"/>
      <c r="D4" s="8" t="s">
        <v>27</v>
      </c>
      <c r="E4" s="25" t="e">
        <f>IF(D4&lt;&gt;0,('Modelo Atmosférico'!$B$9/'Modelo Atmosférico'!$B$10)*((POWER(D4/'Modelo Atmosférico'!$B$14,(-'Modelo Atmosférico'!$B$11*'Modelo Atmosférico'!$B$10)/('Modelo Atmosférico'!$B$12*'Modelo Atmosférico'!$B$13)))-1),0)</f>
        <v>#VALUE!</v>
      </c>
      <c r="F4" s="39" t="e">
        <f>E4-E3</f>
        <v>#VALUE!</v>
      </c>
    </row>
    <row r="5" spans="1:56" ht="15.75" thickBot="1" x14ac:dyDescent="0.3">
      <c r="A5" s="43"/>
      <c r="B5" s="44"/>
      <c r="C5" s="44"/>
      <c r="D5" s="24"/>
      <c r="E5" s="27"/>
      <c r="F5" s="40"/>
    </row>
    <row r="6" spans="1:56" ht="30" customHeight="1" thickTop="1" x14ac:dyDescent="0.25">
      <c r="C6" s="31" t="s">
        <v>19</v>
      </c>
      <c r="D6" s="22"/>
      <c r="E6" s="22"/>
      <c r="F6" s="20"/>
      <c r="G6" s="35"/>
    </row>
    <row r="7" spans="1:56" x14ac:dyDescent="0.25">
      <c r="A7" s="6" t="s">
        <v>22</v>
      </c>
      <c r="B7" s="5"/>
      <c r="C7" s="6" t="s">
        <v>26</v>
      </c>
      <c r="D7" s="6" t="s">
        <v>25</v>
      </c>
      <c r="E7" s="6" t="s">
        <v>20</v>
      </c>
      <c r="F7" s="6" t="s">
        <v>21</v>
      </c>
      <c r="G7" s="19"/>
    </row>
    <row r="8" spans="1:56" x14ac:dyDescent="0.25">
      <c r="A8" s="9">
        <v>0</v>
      </c>
      <c r="B8" s="10"/>
      <c r="C8" s="29"/>
      <c r="D8" s="11"/>
      <c r="E8" s="12">
        <f>IF(D8&lt;&gt;0,('Modelo Atmosférico'!$B$9/'Modelo Atmosférico'!$B$10)*((POWER(D8/'Modelo Atmosférico'!$B$14,(-'Modelo Atmosférico'!$B$11*'Modelo Atmosférico'!$B$10)/('Modelo Atmosférico'!$B$12*'Modelo Atmosférico'!$B$13)))-1),0)</f>
        <v>0</v>
      </c>
      <c r="F8" s="13">
        <f t="shared" ref="F8:F33" si="0">IF(D8&lt;&gt;0,E8-$E$3,0)</f>
        <v>0</v>
      </c>
      <c r="J8" s="34"/>
      <c r="K8" s="34"/>
    </row>
    <row r="9" spans="1:56" x14ac:dyDescent="0.25">
      <c r="A9" s="10">
        <v>0.192</v>
      </c>
      <c r="B9" s="10"/>
      <c r="C9" s="30"/>
      <c r="D9" s="5"/>
      <c r="E9" s="4">
        <f>IF(D9&lt;&gt;0,('Modelo Atmosférico'!$B$9/'Modelo Atmosférico'!$B$10)*((POWER(D9/'Modelo Atmosférico'!$B$14,(-'Modelo Atmosférico'!$B$11*'Modelo Atmosférico'!$B$10)/('Modelo Atmosférico'!$B$12*'Modelo Atmosférico'!$B$13)))-1),0)</f>
        <v>0</v>
      </c>
      <c r="F9" s="14">
        <f t="shared" si="0"/>
        <v>0</v>
      </c>
      <c r="J9" s="34"/>
      <c r="K9" s="34"/>
      <c r="L9" s="32"/>
      <c r="AU9" s="32"/>
      <c r="BD9" s="32"/>
    </row>
    <row r="10" spans="1:56" x14ac:dyDescent="0.25">
      <c r="A10" s="10">
        <v>0.38400000000000001</v>
      </c>
      <c r="B10" s="10"/>
      <c r="C10" s="30"/>
      <c r="D10" s="5"/>
      <c r="E10" s="4">
        <f>IF(D10&lt;&gt;0,('Modelo Atmosférico'!$B$9/'Modelo Atmosférico'!$B$10)*((POWER(D10/'Modelo Atmosférico'!$B$14,(-'Modelo Atmosférico'!$B$11*'Modelo Atmosférico'!$B$10)/('Modelo Atmosférico'!$B$12*'Modelo Atmosférico'!$B$13)))-1),0)</f>
        <v>0</v>
      </c>
      <c r="F10" s="14">
        <f t="shared" si="0"/>
        <v>0</v>
      </c>
      <c r="J10" s="34"/>
      <c r="K10" s="34"/>
      <c r="L10" s="32"/>
      <c r="AQ10" s="32"/>
      <c r="AZ10" s="32"/>
    </row>
    <row r="11" spans="1:56" x14ac:dyDescent="0.25">
      <c r="A11" s="10">
        <v>0.57599999999999996</v>
      </c>
      <c r="B11" s="10"/>
      <c r="C11" s="30"/>
      <c r="D11" s="5"/>
      <c r="E11" s="4">
        <f>IF(D11&lt;&gt;0,('Modelo Atmosférico'!$B$9/'Modelo Atmosférico'!$B$10)*((POWER(D11/'Modelo Atmosférico'!$B$14,(-'Modelo Atmosférico'!$B$11*'Modelo Atmosférico'!$B$10)/('Modelo Atmosférico'!$B$12*'Modelo Atmosférico'!$B$13)))-1),0)</f>
        <v>0</v>
      </c>
      <c r="F11" s="14">
        <f t="shared" si="0"/>
        <v>0</v>
      </c>
      <c r="J11" s="34"/>
      <c r="K11" s="34"/>
      <c r="L11" s="32"/>
      <c r="AA11" s="33"/>
      <c r="AG11" s="32"/>
      <c r="AP11" s="32"/>
      <c r="AY11" s="32"/>
    </row>
    <row r="12" spans="1:56" x14ac:dyDescent="0.25">
      <c r="A12" s="10">
        <v>0.76800000000000002</v>
      </c>
      <c r="B12" s="10"/>
      <c r="C12" s="30"/>
      <c r="D12" s="5"/>
      <c r="E12" s="4">
        <f>IF(D12&lt;&gt;0,('Modelo Atmosférico'!$B$9/'Modelo Atmosférico'!$B$10)*((POWER(D12/'Modelo Atmosférico'!$B$14,(-'Modelo Atmosférico'!$B$11*'Modelo Atmosférico'!$B$10)/('Modelo Atmosférico'!$B$12*'Modelo Atmosférico'!$B$13)))-1),0)</f>
        <v>0</v>
      </c>
      <c r="F12" s="14">
        <f t="shared" si="0"/>
        <v>0</v>
      </c>
      <c r="I12" s="32"/>
      <c r="J12" s="34"/>
      <c r="K12" s="34"/>
      <c r="L12" s="32"/>
      <c r="Z12" s="33"/>
      <c r="AF12" s="32"/>
      <c r="AO12" s="32"/>
      <c r="AX12" s="32"/>
    </row>
    <row r="13" spans="1:56" x14ac:dyDescent="0.25">
      <c r="A13" s="10">
        <v>0.96</v>
      </c>
      <c r="B13" s="10"/>
      <c r="C13" s="30"/>
      <c r="D13" s="5"/>
      <c r="E13" s="4">
        <f>IF(D13&lt;&gt;0,('Modelo Atmosférico'!$B$9/'Modelo Atmosférico'!$B$10)*((POWER(D13/'Modelo Atmosférico'!$B$14,(-'Modelo Atmosférico'!$B$11*'Modelo Atmosférico'!$B$10)/('Modelo Atmosférico'!$B$12*'Modelo Atmosférico'!$B$13)))-1),0)</f>
        <v>0</v>
      </c>
      <c r="F13" s="14">
        <f t="shared" si="0"/>
        <v>0</v>
      </c>
      <c r="I13" s="32"/>
      <c r="J13" s="34"/>
      <c r="K13" s="34"/>
      <c r="L13" s="32"/>
      <c r="Y13" s="33"/>
      <c r="AE13" s="32"/>
      <c r="AO13" s="32"/>
      <c r="AX13" s="32"/>
    </row>
    <row r="14" spans="1:56" x14ac:dyDescent="0.25">
      <c r="A14" s="10">
        <v>1.1519999999999999</v>
      </c>
      <c r="B14" s="10"/>
      <c r="C14" s="30"/>
      <c r="D14" s="5"/>
      <c r="E14" s="4">
        <f>IF(D14&lt;&gt;0,('Modelo Atmosférico'!$B$9/'Modelo Atmosférico'!$B$10)*((POWER(D14/'Modelo Atmosférico'!$B$14,(-'Modelo Atmosférico'!$B$11*'Modelo Atmosférico'!$B$10)/('Modelo Atmosférico'!$B$12*'Modelo Atmosférico'!$B$13)))-1),0)</f>
        <v>0</v>
      </c>
      <c r="F14" s="14">
        <f t="shared" si="0"/>
        <v>0</v>
      </c>
      <c r="I14" s="32"/>
      <c r="J14" s="34"/>
      <c r="K14" s="34"/>
      <c r="L14" s="32"/>
      <c r="Z14" s="33"/>
      <c r="AF14" s="32"/>
      <c r="AM14" s="32"/>
      <c r="AV14" s="32"/>
    </row>
    <row r="15" spans="1:56" x14ac:dyDescent="0.25">
      <c r="A15" s="10">
        <v>1.3440000000000001</v>
      </c>
      <c r="B15" s="10"/>
      <c r="C15" s="30"/>
      <c r="D15" s="5"/>
      <c r="E15" s="4">
        <f>IF(D15&lt;&gt;0,('Modelo Atmosférico'!$B$9/'Modelo Atmosférico'!$B$10)*((POWER(D15/'Modelo Atmosférico'!$B$14,(-'Modelo Atmosférico'!$B$11*'Modelo Atmosférico'!$B$10)/('Modelo Atmosférico'!$B$12*'Modelo Atmosférico'!$B$13)))-1),0)</f>
        <v>0</v>
      </c>
      <c r="F15" s="14">
        <f t="shared" si="0"/>
        <v>0</v>
      </c>
      <c r="I15" s="32"/>
      <c r="J15" s="34"/>
      <c r="K15" s="34"/>
      <c r="L15" s="32"/>
      <c r="Z15" s="33"/>
      <c r="AF15" s="32"/>
      <c r="AM15" s="32"/>
      <c r="AV15" s="32"/>
    </row>
    <row r="16" spans="1:56" x14ac:dyDescent="0.25">
      <c r="A16" s="10">
        <v>1.536</v>
      </c>
      <c r="B16" s="10"/>
      <c r="C16" s="30"/>
      <c r="D16" s="5"/>
      <c r="E16" s="4">
        <f>IF(D16&lt;&gt;0,('Modelo Atmosférico'!$B$9/'Modelo Atmosférico'!$B$10)*((POWER(D16/'Modelo Atmosférico'!$B$14,(-'Modelo Atmosférico'!$B$11*'Modelo Atmosférico'!$B$10)/('Modelo Atmosférico'!$B$12*'Modelo Atmosférico'!$B$13)))-1),0)</f>
        <v>0</v>
      </c>
      <c r="F16" s="14">
        <f t="shared" si="0"/>
        <v>0</v>
      </c>
      <c r="J16" s="34"/>
      <c r="K16" s="34"/>
      <c r="L16" s="32"/>
      <c r="AM16" s="32"/>
      <c r="AV16" s="32"/>
    </row>
    <row r="17" spans="1:56" x14ac:dyDescent="0.25">
      <c r="A17" s="10">
        <v>1.728</v>
      </c>
      <c r="B17" s="10"/>
      <c r="C17" s="30"/>
      <c r="D17" s="5"/>
      <c r="E17" s="4">
        <f>IF(D17&lt;&gt;0,('Modelo Atmosférico'!$B$9/'Modelo Atmosférico'!$B$10)*((POWER(D17/'Modelo Atmosférico'!$B$14,(-'Modelo Atmosférico'!$B$11*'Modelo Atmosférico'!$B$10)/('Modelo Atmosférico'!$B$12*'Modelo Atmosférico'!$B$13)))-1),0)</f>
        <v>0</v>
      </c>
      <c r="F17" s="14">
        <f t="shared" si="0"/>
        <v>0</v>
      </c>
      <c r="J17" s="34"/>
      <c r="K17" s="34"/>
      <c r="L17" s="32"/>
      <c r="AM17" s="32"/>
      <c r="AV17" s="32"/>
    </row>
    <row r="18" spans="1:56" x14ac:dyDescent="0.25">
      <c r="A18" s="10">
        <v>1.92</v>
      </c>
      <c r="B18" s="10"/>
      <c r="C18" s="30"/>
      <c r="D18" s="5"/>
      <c r="E18" s="4">
        <f>IF(D18&lt;&gt;0,('Modelo Atmosférico'!$B$9/'Modelo Atmosférico'!$B$10)*((POWER(D18/'Modelo Atmosférico'!$B$14,(-'Modelo Atmosférico'!$B$11*'Modelo Atmosférico'!$B$10)/('Modelo Atmosférico'!$B$12*'Modelo Atmosférico'!$B$13)))-1),0)</f>
        <v>0</v>
      </c>
      <c r="F18" s="14">
        <f t="shared" si="0"/>
        <v>0</v>
      </c>
      <c r="J18" s="34"/>
      <c r="K18" s="34"/>
      <c r="L18" s="32"/>
      <c r="AM18" s="32"/>
      <c r="AV18" s="32"/>
    </row>
    <row r="19" spans="1:56" x14ac:dyDescent="0.25">
      <c r="A19" s="10">
        <v>2.1120000000000001</v>
      </c>
      <c r="B19" s="10"/>
      <c r="C19" s="30"/>
      <c r="D19" s="5"/>
      <c r="E19" s="4">
        <f>IF(D19&lt;&gt;0,('Modelo Atmosférico'!$B$9/'Modelo Atmosférico'!$B$10)*((POWER(D19/'Modelo Atmosférico'!$B$14,(-'Modelo Atmosférico'!$B$11*'Modelo Atmosférico'!$B$10)/('Modelo Atmosférico'!$B$12*'Modelo Atmosférico'!$B$13)))-1),0)</f>
        <v>0</v>
      </c>
      <c r="F19" s="14">
        <f t="shared" si="0"/>
        <v>0</v>
      </c>
      <c r="I19" s="32"/>
      <c r="J19" s="34"/>
      <c r="K19" s="34"/>
      <c r="L19" s="32"/>
      <c r="AL19" s="32"/>
      <c r="AU19" s="32"/>
    </row>
    <row r="20" spans="1:56" x14ac:dyDescent="0.25">
      <c r="A20" s="10">
        <v>2.3039999999999998</v>
      </c>
      <c r="B20" s="10"/>
      <c r="C20" s="30"/>
      <c r="D20" s="5"/>
      <c r="E20" s="4">
        <f>IF(D20&lt;&gt;0,('Modelo Atmosférico'!$B$9/'Modelo Atmosférico'!$B$10)*((POWER(D20/'Modelo Atmosférico'!$B$14,(-'Modelo Atmosférico'!$B$11*'Modelo Atmosférico'!$B$10)/('Modelo Atmosférico'!$B$12*'Modelo Atmosférico'!$B$13)))-1),0)</f>
        <v>0</v>
      </c>
      <c r="F20" s="14">
        <f t="shared" si="0"/>
        <v>0</v>
      </c>
      <c r="I20" s="32"/>
      <c r="J20" s="34"/>
      <c r="K20" s="34"/>
      <c r="L20" s="32"/>
      <c r="AM20" s="32"/>
      <c r="AV20" s="32"/>
    </row>
    <row r="21" spans="1:56" x14ac:dyDescent="0.25">
      <c r="A21" s="10">
        <v>2.496</v>
      </c>
      <c r="B21" s="10"/>
      <c r="C21" s="30"/>
      <c r="D21" s="5"/>
      <c r="E21" s="4">
        <f>IF(D21&lt;&gt;0,('Modelo Atmosférico'!$B$9/'Modelo Atmosférico'!$B$10)*((POWER(D21/'Modelo Atmosférico'!$B$14,(-'Modelo Atmosférico'!$B$11*'Modelo Atmosférico'!$B$10)/('Modelo Atmosférico'!$B$12*'Modelo Atmosférico'!$B$13)))-1),0)</f>
        <v>0</v>
      </c>
      <c r="F21" s="14">
        <f t="shared" si="0"/>
        <v>0</v>
      </c>
      <c r="I21" s="32"/>
      <c r="J21" s="34"/>
      <c r="K21" s="34"/>
      <c r="L21" s="32"/>
      <c r="AK21" s="32"/>
      <c r="AT21" s="32"/>
    </row>
    <row r="22" spans="1:56" x14ac:dyDescent="0.25">
      <c r="A22" s="10">
        <v>2.6880000000000002</v>
      </c>
      <c r="B22" s="10"/>
      <c r="C22" s="30"/>
      <c r="D22" s="5"/>
      <c r="E22" s="4">
        <f>IF(D22&lt;&gt;0,('Modelo Atmosférico'!$B$9/'Modelo Atmosférico'!$B$10)*((POWER(D22/'Modelo Atmosférico'!$B$14,(-'Modelo Atmosférico'!$B$11*'Modelo Atmosférico'!$B$10)/('Modelo Atmosférico'!$B$12*'Modelo Atmosférico'!$B$13)))-1),0)</f>
        <v>0</v>
      </c>
      <c r="F22" s="14">
        <f t="shared" si="0"/>
        <v>0</v>
      </c>
      <c r="I22" s="32"/>
      <c r="J22" s="34"/>
      <c r="K22" s="34"/>
      <c r="L22" s="32"/>
      <c r="AI22" s="32"/>
      <c r="AR22" s="32"/>
    </row>
    <row r="23" spans="1:56" x14ac:dyDescent="0.25">
      <c r="A23" s="10">
        <v>2.88</v>
      </c>
      <c r="B23" s="10"/>
      <c r="C23" s="30"/>
      <c r="D23" s="5"/>
      <c r="E23" s="4">
        <f>IF(D23&lt;&gt;0,('Modelo Atmosférico'!$B$9/'Modelo Atmosférico'!$B$10)*((POWER(D23/'Modelo Atmosférico'!$B$14,(-'Modelo Atmosférico'!$B$11*'Modelo Atmosférico'!$B$10)/('Modelo Atmosférico'!$B$12*'Modelo Atmosférico'!$B$13)))-1),0)</f>
        <v>0</v>
      </c>
      <c r="F23" s="14">
        <f t="shared" si="0"/>
        <v>0</v>
      </c>
      <c r="I23" s="32"/>
      <c r="J23" s="34"/>
      <c r="K23" s="34"/>
      <c r="L23" s="32"/>
      <c r="AI23" s="32"/>
      <c r="AR23" s="32"/>
    </row>
    <row r="24" spans="1:56" x14ac:dyDescent="0.25">
      <c r="A24" s="10">
        <v>3.0720000000000001</v>
      </c>
      <c r="B24" s="10"/>
      <c r="C24" s="30"/>
      <c r="D24" s="5"/>
      <c r="E24" s="4">
        <f>IF(D24&lt;&gt;0,('Modelo Atmosférico'!$B$9/'Modelo Atmosférico'!$B$10)*((POWER(D24/'Modelo Atmosférico'!$B$14,(-'Modelo Atmosférico'!$B$11*'Modelo Atmosférico'!$B$10)/('Modelo Atmosférico'!$B$12*'Modelo Atmosférico'!$B$13)))-1),0)</f>
        <v>0</v>
      </c>
      <c r="F24" s="14">
        <f t="shared" si="0"/>
        <v>0</v>
      </c>
      <c r="J24" s="34"/>
      <c r="K24" s="34"/>
      <c r="L24" s="32"/>
      <c r="V24" s="33"/>
      <c r="AB24" s="32"/>
      <c r="AH24" s="32"/>
      <c r="AQ24" s="32"/>
    </row>
    <row r="25" spans="1:56" x14ac:dyDescent="0.25">
      <c r="A25" s="10">
        <v>3.2639999999999998</v>
      </c>
      <c r="B25" s="10"/>
      <c r="C25" s="30"/>
      <c r="D25" s="5"/>
      <c r="E25" s="4">
        <f>IF(D25&lt;&gt;0,('Modelo Atmosférico'!$B$9/'Modelo Atmosférico'!$B$10)*((POWER(D25/'Modelo Atmosférico'!$B$14,(-'Modelo Atmosférico'!$B$11*'Modelo Atmosférico'!$B$10)/('Modelo Atmosférico'!$B$12*'Modelo Atmosférico'!$B$13)))-1),0)</f>
        <v>0</v>
      </c>
      <c r="F25" s="14">
        <f t="shared" si="0"/>
        <v>0</v>
      </c>
      <c r="J25" s="34"/>
      <c r="K25" s="34"/>
      <c r="L25" s="32"/>
      <c r="V25" s="33"/>
      <c r="AB25" s="32"/>
      <c r="AH25" s="32"/>
      <c r="AQ25" s="32"/>
    </row>
    <row r="26" spans="1:56" x14ac:dyDescent="0.25">
      <c r="A26" s="10">
        <v>3.456</v>
      </c>
      <c r="B26" s="10"/>
      <c r="C26" s="30"/>
      <c r="D26" s="5"/>
      <c r="E26" s="4">
        <f>IF(D26&lt;&gt;0,('Modelo Atmosférico'!$B$9/'Modelo Atmosférico'!$B$10)*((POWER(D26/'Modelo Atmosférico'!$B$14,(-'Modelo Atmosférico'!$B$11*'Modelo Atmosférico'!$B$10)/('Modelo Atmosférico'!$B$12*'Modelo Atmosférico'!$B$13)))-1),0)</f>
        <v>0</v>
      </c>
      <c r="F26" s="14">
        <f t="shared" si="0"/>
        <v>0</v>
      </c>
      <c r="J26" s="34"/>
      <c r="K26" s="34"/>
      <c r="L26" s="32"/>
      <c r="W26" s="33"/>
      <c r="AC26" s="32"/>
      <c r="AJ26" s="32"/>
      <c r="AS26" s="32"/>
    </row>
    <row r="27" spans="1:56" x14ac:dyDescent="0.25">
      <c r="A27" s="10">
        <v>3.6480000000000001</v>
      </c>
      <c r="B27" s="10"/>
      <c r="C27" s="30"/>
      <c r="D27" s="5"/>
      <c r="E27" s="4">
        <f>IF(D27&lt;&gt;0,('Modelo Atmosférico'!$B$9/'Modelo Atmosférico'!$B$10)*((POWER(D27/'Modelo Atmosférico'!$B$14,(-'Modelo Atmosférico'!$B$11*'Modelo Atmosférico'!$B$10)/('Modelo Atmosférico'!$B$12*'Modelo Atmosférico'!$B$13)))-1),0)</f>
        <v>0</v>
      </c>
      <c r="F27" s="14">
        <f t="shared" si="0"/>
        <v>0</v>
      </c>
      <c r="J27" s="34"/>
      <c r="K27" s="34"/>
      <c r="L27" s="32"/>
      <c r="W27" s="33"/>
      <c r="AC27" s="32"/>
      <c r="AM27" s="32"/>
      <c r="AV27" s="32"/>
    </row>
    <row r="28" spans="1:56" x14ac:dyDescent="0.25">
      <c r="A28" s="10">
        <v>3.84</v>
      </c>
      <c r="B28" s="10"/>
      <c r="C28" s="30"/>
      <c r="D28" s="5"/>
      <c r="E28" s="4">
        <f>IF(D28&lt;&gt;0,('Modelo Atmosférico'!$B$9/'Modelo Atmosférico'!$B$10)*((POWER(D28/'Modelo Atmosférico'!$B$14,(-'Modelo Atmosférico'!$B$11*'Modelo Atmosférico'!$B$10)/('Modelo Atmosférico'!$B$12*'Modelo Atmosférico'!$B$13)))-1),0)</f>
        <v>0</v>
      </c>
      <c r="F28" s="14">
        <f t="shared" si="0"/>
        <v>0</v>
      </c>
      <c r="J28" s="34"/>
      <c r="K28" s="34"/>
      <c r="L28" s="32"/>
      <c r="X28" s="33"/>
      <c r="AD28" s="32"/>
      <c r="AM28" s="32"/>
      <c r="AV28" s="32"/>
    </row>
    <row r="29" spans="1:56" x14ac:dyDescent="0.25">
      <c r="A29" s="10">
        <v>4.032</v>
      </c>
      <c r="B29" s="10"/>
      <c r="C29" s="30"/>
      <c r="D29" s="5"/>
      <c r="E29" s="4">
        <f>IF(D29&lt;&gt;0,('Modelo Atmosférico'!$B$9/'Modelo Atmosférico'!$B$10)*((POWER(D29/'Modelo Atmosférico'!$B$14,(-'Modelo Atmosférico'!$B$11*'Modelo Atmosférico'!$B$10)/('Modelo Atmosférico'!$B$12*'Modelo Atmosférico'!$B$13)))-1),0)</f>
        <v>0</v>
      </c>
      <c r="F29" s="14">
        <f t="shared" si="0"/>
        <v>0</v>
      </c>
      <c r="J29" s="34"/>
      <c r="K29" s="34"/>
      <c r="AQ29" s="32"/>
      <c r="AZ29" s="32"/>
    </row>
    <row r="30" spans="1:56" x14ac:dyDescent="0.25">
      <c r="A30" s="10">
        <v>4.2240000000000002</v>
      </c>
      <c r="B30" s="10"/>
      <c r="C30" s="30"/>
      <c r="D30" s="5"/>
      <c r="E30" s="4">
        <f>IF(D30&lt;&gt;0,('Modelo Atmosférico'!$B$9/'Modelo Atmosférico'!$B$10)*((POWER(D30/'Modelo Atmosférico'!$B$14,(-'Modelo Atmosférico'!$B$11*'Modelo Atmosférico'!$B$10)/('Modelo Atmosférico'!$B$12*'Modelo Atmosférico'!$B$13)))-1),0)</f>
        <v>0</v>
      </c>
      <c r="F30" s="14">
        <f t="shared" si="0"/>
        <v>0</v>
      </c>
      <c r="J30" s="34"/>
      <c r="K30" s="34"/>
      <c r="AQ30" s="32"/>
      <c r="AZ30" s="32"/>
    </row>
    <row r="31" spans="1:56" x14ac:dyDescent="0.25">
      <c r="A31" s="10">
        <v>4.4160000000000004</v>
      </c>
      <c r="B31" s="10"/>
      <c r="C31" s="30"/>
      <c r="D31" s="5"/>
      <c r="E31" s="4">
        <f>IF(D31&lt;&gt;0,('Modelo Atmosférico'!$B$9/'Modelo Atmosférico'!$B$10)*((POWER(D31/'Modelo Atmosférico'!$B$14,(-'Modelo Atmosférico'!$B$11*'Modelo Atmosférico'!$B$10)/('Modelo Atmosférico'!$B$12*'Modelo Atmosférico'!$B$13)))-1),0)</f>
        <v>0</v>
      </c>
      <c r="F31" s="14">
        <f t="shared" si="0"/>
        <v>0</v>
      </c>
      <c r="J31" s="34"/>
      <c r="K31" s="34"/>
      <c r="AR31" s="32"/>
      <c r="BA31" s="32"/>
    </row>
    <row r="32" spans="1:56" x14ac:dyDescent="0.25">
      <c r="A32" s="10">
        <v>4.6079999999999997</v>
      </c>
      <c r="B32" s="10"/>
      <c r="C32" s="30"/>
      <c r="D32" s="5"/>
      <c r="E32" s="4">
        <f>IF(D32&lt;&gt;0,('Modelo Atmosférico'!$B$9/'Modelo Atmosférico'!$B$10)*((POWER(D32/'Modelo Atmosférico'!$B$14,(-'Modelo Atmosférico'!$B$11*'Modelo Atmosférico'!$B$10)/('Modelo Atmosférico'!$B$12*'Modelo Atmosférico'!$B$13)))-1),0)</f>
        <v>0</v>
      </c>
      <c r="F32" s="14">
        <f t="shared" si="0"/>
        <v>0</v>
      </c>
      <c r="J32" s="34"/>
      <c r="K32" s="34"/>
      <c r="AU32" s="32"/>
      <c r="BD32" s="32"/>
    </row>
    <row r="33" spans="1:60" x14ac:dyDescent="0.25">
      <c r="A33" s="10">
        <v>4.8</v>
      </c>
      <c r="B33" s="10"/>
      <c r="C33" s="30"/>
      <c r="D33" s="5"/>
      <c r="E33" s="4">
        <f>IF(D33&lt;&gt;0,('Modelo Atmosférico'!$B$9/'Modelo Atmosférico'!$B$10)*((POWER(D33/'Modelo Atmosférico'!$B$14,(-'Modelo Atmosférico'!$B$11*'Modelo Atmosférico'!$B$10)/('Modelo Atmosférico'!$B$12*'Modelo Atmosférico'!$B$13)))-1),0)</f>
        <v>0</v>
      </c>
      <c r="F33" s="14">
        <f t="shared" si="0"/>
        <v>0</v>
      </c>
      <c r="J33" s="34"/>
      <c r="K33" s="34"/>
      <c r="AV33" s="32"/>
      <c r="BE33" s="32"/>
    </row>
    <row r="34" spans="1:60" x14ac:dyDescent="0.25">
      <c r="A34" s="10">
        <v>4.992</v>
      </c>
      <c r="B34" s="10"/>
      <c r="C34" s="30"/>
      <c r="D34" s="5"/>
      <c r="E34" s="4">
        <f>IF(D34&lt;&gt;0,('Modelo Atmosférico'!$B$9/'Modelo Atmosférico'!$B$10)*((POWER(D34/'Modelo Atmosférico'!$B$14,(-'Modelo Atmosférico'!$B$11*'Modelo Atmosférico'!$B$10)/('Modelo Atmosférico'!$B$12*'Modelo Atmosférico'!$B$13)))-1),0)</f>
        <v>0</v>
      </c>
      <c r="F34" s="14">
        <f>IF(D34&lt;&gt;0,E34-$E$3,0)</f>
        <v>0</v>
      </c>
      <c r="J34" s="34"/>
      <c r="K34" s="34"/>
      <c r="AY34" s="32"/>
      <c r="BH34" s="32"/>
    </row>
    <row r="35" spans="1:60" x14ac:dyDescent="0.25">
      <c r="A35" s="10">
        <v>5.1840000000000002</v>
      </c>
      <c r="B35" s="10"/>
      <c r="C35" s="30"/>
      <c r="D35" s="5"/>
      <c r="E35" s="4">
        <f>IF(D35&lt;&gt;0,('Modelo Atmosférico'!$B$9/'Modelo Atmosférico'!$B$10)*((POWER(D35/'Modelo Atmosférico'!$B$14,(-'Modelo Atmosférico'!$B$11*'Modelo Atmosférico'!$B$10)/('Modelo Atmosférico'!$B$12*'Modelo Atmosférico'!$B$13)))-1),0)</f>
        <v>0</v>
      </c>
      <c r="F35" s="14">
        <f t="shared" ref="F35:F98" si="1">IF(D35&lt;&gt;0,E35-$E$3,0)</f>
        <v>0</v>
      </c>
      <c r="J35" s="34"/>
      <c r="K35" s="34"/>
    </row>
    <row r="36" spans="1:60" x14ac:dyDescent="0.25">
      <c r="A36" s="10">
        <v>5.3760000000000003</v>
      </c>
      <c r="B36" s="10"/>
      <c r="C36" s="30"/>
      <c r="D36" s="5"/>
      <c r="E36" s="4">
        <f>IF(D36&lt;&gt;0,('Modelo Atmosférico'!$B$9/'Modelo Atmosférico'!$B$10)*((POWER(D36/'Modelo Atmosférico'!$B$14,(-'Modelo Atmosférico'!$B$11*'Modelo Atmosférico'!$B$10)/('Modelo Atmosférico'!$B$12*'Modelo Atmosférico'!$B$13)))-1),0)</f>
        <v>0</v>
      </c>
      <c r="F36" s="14">
        <f t="shared" si="1"/>
        <v>0</v>
      </c>
      <c r="J36" s="34"/>
      <c r="K36" s="34"/>
    </row>
    <row r="37" spans="1:60" x14ac:dyDescent="0.25">
      <c r="A37" s="10">
        <v>5.5679999999999996</v>
      </c>
      <c r="B37" s="10"/>
      <c r="C37" s="30"/>
      <c r="D37" s="5"/>
      <c r="E37" s="4">
        <f>IF(D37&lt;&gt;0,('Modelo Atmosférico'!$B$9/'Modelo Atmosférico'!$B$10)*((POWER(D37/'Modelo Atmosférico'!$B$14,(-'Modelo Atmosférico'!$B$11*'Modelo Atmosférico'!$B$10)/('Modelo Atmosférico'!$B$12*'Modelo Atmosférico'!$B$13)))-1),0)</f>
        <v>0</v>
      </c>
      <c r="F37" s="14">
        <f t="shared" si="1"/>
        <v>0</v>
      </c>
      <c r="J37" s="34"/>
      <c r="K37" s="34"/>
    </row>
    <row r="38" spans="1:60" x14ac:dyDescent="0.25">
      <c r="A38" s="10">
        <v>5.76</v>
      </c>
      <c r="B38" s="10"/>
      <c r="C38" s="30"/>
      <c r="D38" s="5"/>
      <c r="E38" s="4">
        <f>IF(D38&lt;&gt;0,('Modelo Atmosférico'!$B$9/'Modelo Atmosférico'!$B$10)*((POWER(D38/'Modelo Atmosférico'!$B$14,(-'Modelo Atmosférico'!$B$11*'Modelo Atmosférico'!$B$10)/('Modelo Atmosférico'!$B$12*'Modelo Atmosférico'!$B$13)))-1),0)</f>
        <v>0</v>
      </c>
      <c r="F38" s="14">
        <f t="shared" si="1"/>
        <v>0</v>
      </c>
      <c r="J38" s="34"/>
      <c r="K38" s="34"/>
    </row>
    <row r="39" spans="1:60" x14ac:dyDescent="0.25">
      <c r="A39" s="10">
        <v>5.952</v>
      </c>
      <c r="B39" s="10"/>
      <c r="C39" s="30"/>
      <c r="D39" s="5"/>
      <c r="E39" s="4">
        <f>IF(D39&lt;&gt;0,('Modelo Atmosférico'!$B$9/'Modelo Atmosférico'!$B$10)*((POWER(D39/'Modelo Atmosférico'!$B$14,(-'Modelo Atmosférico'!$B$11*'Modelo Atmosférico'!$B$10)/('Modelo Atmosférico'!$B$12*'Modelo Atmosférico'!$B$13)))-1),0)</f>
        <v>0</v>
      </c>
      <c r="F39" s="14">
        <f t="shared" si="1"/>
        <v>0</v>
      </c>
      <c r="J39" s="34"/>
      <c r="K39" s="34"/>
    </row>
    <row r="40" spans="1:60" x14ac:dyDescent="0.25">
      <c r="A40" s="10">
        <v>6.1440000000000001</v>
      </c>
      <c r="B40" s="10"/>
      <c r="C40" s="30"/>
      <c r="D40" s="5"/>
      <c r="E40" s="4">
        <f>IF(D40&lt;&gt;0,('Modelo Atmosférico'!$B$9/'Modelo Atmosférico'!$B$10)*((POWER(D40/'Modelo Atmosférico'!$B$14,(-'Modelo Atmosférico'!$B$11*'Modelo Atmosférico'!$B$10)/('Modelo Atmosférico'!$B$12*'Modelo Atmosférico'!$B$13)))-1),0)</f>
        <v>0</v>
      </c>
      <c r="F40" s="14">
        <f t="shared" si="1"/>
        <v>0</v>
      </c>
      <c r="J40" s="34"/>
      <c r="K40" s="34"/>
    </row>
    <row r="41" spans="1:60" x14ac:dyDescent="0.25">
      <c r="A41" s="10">
        <v>6.3360000000000003</v>
      </c>
      <c r="B41" s="10"/>
      <c r="C41" s="30"/>
      <c r="D41" s="5"/>
      <c r="E41" s="4">
        <f>IF(D41&lt;&gt;0,('Modelo Atmosférico'!$B$9/'Modelo Atmosférico'!$B$10)*((POWER(D41/'Modelo Atmosférico'!$B$14,(-'Modelo Atmosférico'!$B$11*'Modelo Atmosférico'!$B$10)/('Modelo Atmosférico'!$B$12*'Modelo Atmosférico'!$B$13)))-1),0)</f>
        <v>0</v>
      </c>
      <c r="F41" s="14">
        <f t="shared" si="1"/>
        <v>0</v>
      </c>
      <c r="J41" s="34"/>
      <c r="K41" s="34"/>
    </row>
    <row r="42" spans="1:60" x14ac:dyDescent="0.25">
      <c r="A42" s="10">
        <v>6.5279999999999996</v>
      </c>
      <c r="B42" s="10"/>
      <c r="C42" s="30"/>
      <c r="D42" s="5"/>
      <c r="E42" s="4">
        <f>IF(D42&lt;&gt;0,('Modelo Atmosférico'!$B$9/'Modelo Atmosférico'!$B$10)*((POWER(D42/'Modelo Atmosférico'!$B$14,(-'Modelo Atmosférico'!$B$11*'Modelo Atmosférico'!$B$10)/('Modelo Atmosférico'!$B$12*'Modelo Atmosférico'!$B$13)))-1),0)</f>
        <v>0</v>
      </c>
      <c r="F42" s="14">
        <f t="shared" si="1"/>
        <v>0</v>
      </c>
      <c r="J42" s="34"/>
      <c r="K42" s="34"/>
    </row>
    <row r="43" spans="1:60" x14ac:dyDescent="0.25">
      <c r="A43" s="10">
        <v>6.72</v>
      </c>
      <c r="B43" s="10"/>
      <c r="C43" s="30"/>
      <c r="D43" s="5"/>
      <c r="E43" s="4">
        <f>IF(D43&lt;&gt;0,('Modelo Atmosférico'!$B$9/'Modelo Atmosférico'!$B$10)*((POWER(D43/'Modelo Atmosférico'!$B$14,(-'Modelo Atmosférico'!$B$11*'Modelo Atmosférico'!$B$10)/('Modelo Atmosférico'!$B$12*'Modelo Atmosférico'!$B$13)))-1),0)</f>
        <v>0</v>
      </c>
      <c r="F43" s="14">
        <f t="shared" si="1"/>
        <v>0</v>
      </c>
      <c r="J43" s="34"/>
      <c r="K43" s="34"/>
    </row>
    <row r="44" spans="1:60" x14ac:dyDescent="0.25">
      <c r="A44" s="10">
        <v>6.9119999999999999</v>
      </c>
      <c r="B44" s="10"/>
      <c r="C44" s="30"/>
      <c r="D44" s="5"/>
      <c r="E44" s="4">
        <f>IF(D44&lt;&gt;0,('Modelo Atmosférico'!$B$9/'Modelo Atmosférico'!$B$10)*((POWER(D44/'Modelo Atmosférico'!$B$14,(-'Modelo Atmosférico'!$B$11*'Modelo Atmosférico'!$B$10)/('Modelo Atmosférico'!$B$12*'Modelo Atmosférico'!$B$13)))-1),0)</f>
        <v>0</v>
      </c>
      <c r="F44" s="14">
        <f t="shared" si="1"/>
        <v>0</v>
      </c>
      <c r="J44" s="34"/>
      <c r="K44" s="34"/>
    </row>
    <row r="45" spans="1:60" x14ac:dyDescent="0.25">
      <c r="A45" s="10">
        <v>7.1040000000000001</v>
      </c>
      <c r="B45" s="10"/>
      <c r="C45" s="30"/>
      <c r="D45" s="5"/>
      <c r="E45" s="4">
        <f>IF(D45&lt;&gt;0,('Modelo Atmosférico'!$B$9/'Modelo Atmosférico'!$B$10)*((POWER(D45/'Modelo Atmosférico'!$B$14,(-'Modelo Atmosférico'!$B$11*'Modelo Atmosférico'!$B$10)/('Modelo Atmosférico'!$B$12*'Modelo Atmosférico'!$B$13)))-1),0)</f>
        <v>0</v>
      </c>
      <c r="F45" s="14">
        <f t="shared" si="1"/>
        <v>0</v>
      </c>
      <c r="J45" s="34"/>
      <c r="K45" s="34"/>
    </row>
    <row r="46" spans="1:60" x14ac:dyDescent="0.25">
      <c r="A46" s="10">
        <v>7.2959999999999896</v>
      </c>
      <c r="B46" s="10"/>
      <c r="C46" s="30"/>
      <c r="D46" s="5"/>
      <c r="E46" s="4">
        <f>IF(D46&lt;&gt;0,('Modelo Atmosférico'!$B$9/'Modelo Atmosférico'!$B$10)*((POWER(D46/'Modelo Atmosférico'!$B$14,(-'Modelo Atmosférico'!$B$11*'Modelo Atmosférico'!$B$10)/('Modelo Atmosférico'!$B$12*'Modelo Atmosférico'!$B$13)))-1),0)</f>
        <v>0</v>
      </c>
      <c r="F46" s="14">
        <f t="shared" si="1"/>
        <v>0</v>
      </c>
      <c r="J46" s="34"/>
      <c r="K46" s="34"/>
    </row>
    <row r="47" spans="1:60" x14ac:dyDescent="0.25">
      <c r="A47" s="10">
        <v>7.4879999999999898</v>
      </c>
      <c r="B47" s="10"/>
      <c r="C47" s="30"/>
      <c r="D47" s="5"/>
      <c r="E47" s="4">
        <f>IF(D47&lt;&gt;0,('Modelo Atmosférico'!$B$9/'Modelo Atmosférico'!$B$10)*((POWER(D47/'Modelo Atmosférico'!$B$14,(-'Modelo Atmosférico'!$B$11*'Modelo Atmosférico'!$B$10)/('Modelo Atmosférico'!$B$12*'Modelo Atmosférico'!$B$13)))-1),0)</f>
        <v>0</v>
      </c>
      <c r="F47" s="14">
        <f t="shared" si="1"/>
        <v>0</v>
      </c>
      <c r="J47" s="34"/>
      <c r="K47" s="34"/>
    </row>
    <row r="48" spans="1:60" x14ac:dyDescent="0.25">
      <c r="A48" s="10">
        <v>7.6799999999999899</v>
      </c>
      <c r="B48" s="10"/>
      <c r="C48" s="30"/>
      <c r="D48" s="5"/>
      <c r="E48" s="4">
        <f>IF(D48&lt;&gt;0,('Modelo Atmosférico'!$B$9/'Modelo Atmosférico'!$B$10)*((POWER(D48/'Modelo Atmosférico'!$B$14,(-'Modelo Atmosférico'!$B$11*'Modelo Atmosférico'!$B$10)/('Modelo Atmosférico'!$B$12*'Modelo Atmosférico'!$B$13)))-1),0)</f>
        <v>0</v>
      </c>
      <c r="F48" s="14">
        <f t="shared" si="1"/>
        <v>0</v>
      </c>
      <c r="J48" s="34"/>
      <c r="K48" s="34"/>
    </row>
    <row r="49" spans="1:11" x14ac:dyDescent="0.25">
      <c r="A49" s="10">
        <v>7.8719999999999901</v>
      </c>
      <c r="B49" s="10"/>
      <c r="C49" s="30"/>
      <c r="D49" s="5"/>
      <c r="E49" s="4">
        <f>IF(D49&lt;&gt;0,('Modelo Atmosférico'!$B$9/'Modelo Atmosférico'!$B$10)*((POWER(D49/'Modelo Atmosférico'!$B$14,(-'Modelo Atmosférico'!$B$11*'Modelo Atmosférico'!$B$10)/('Modelo Atmosférico'!$B$12*'Modelo Atmosférico'!$B$13)))-1),0)</f>
        <v>0</v>
      </c>
      <c r="F49" s="14">
        <f t="shared" si="1"/>
        <v>0</v>
      </c>
      <c r="J49" s="34"/>
      <c r="K49" s="34"/>
    </row>
    <row r="50" spans="1:11" x14ac:dyDescent="0.25">
      <c r="A50" s="10">
        <v>8.0639999999999894</v>
      </c>
      <c r="B50" s="10"/>
      <c r="C50" s="30"/>
      <c r="D50" s="5"/>
      <c r="E50" s="4">
        <f>IF(D50&lt;&gt;0,('Modelo Atmosférico'!$B$9/'Modelo Atmosférico'!$B$10)*((POWER(D50/'Modelo Atmosférico'!$B$14,(-'Modelo Atmosférico'!$B$11*'Modelo Atmosférico'!$B$10)/('Modelo Atmosférico'!$B$12*'Modelo Atmosférico'!$B$13)))-1),0)</f>
        <v>0</v>
      </c>
      <c r="F50" s="14">
        <f t="shared" si="1"/>
        <v>0</v>
      </c>
      <c r="J50" s="34"/>
      <c r="K50" s="34"/>
    </row>
    <row r="51" spans="1:11" x14ac:dyDescent="0.25">
      <c r="A51" s="10">
        <v>8.2559999999999896</v>
      </c>
      <c r="B51" s="10"/>
      <c r="C51" s="30"/>
      <c r="D51" s="5"/>
      <c r="E51" s="4">
        <f>IF(D51&lt;&gt;0,('Modelo Atmosférico'!$B$9/'Modelo Atmosférico'!$B$10)*((POWER(D51/'Modelo Atmosférico'!$B$14,(-'Modelo Atmosférico'!$B$11*'Modelo Atmosférico'!$B$10)/('Modelo Atmosférico'!$B$12*'Modelo Atmosférico'!$B$13)))-1),0)</f>
        <v>0</v>
      </c>
      <c r="F51" s="14">
        <f t="shared" si="1"/>
        <v>0</v>
      </c>
      <c r="J51" s="34"/>
      <c r="K51" s="34"/>
    </row>
    <row r="52" spans="1:11" x14ac:dyDescent="0.25">
      <c r="A52" s="10">
        <v>8.4479999999999897</v>
      </c>
      <c r="B52" s="10"/>
      <c r="C52" s="30"/>
      <c r="D52" s="5"/>
      <c r="E52" s="4">
        <f>IF(D52&lt;&gt;0,('Modelo Atmosférico'!$B$9/'Modelo Atmosférico'!$B$10)*((POWER(D52/'Modelo Atmosférico'!$B$14,(-'Modelo Atmosférico'!$B$11*'Modelo Atmosférico'!$B$10)/('Modelo Atmosférico'!$B$12*'Modelo Atmosférico'!$B$13)))-1),0)</f>
        <v>0</v>
      </c>
      <c r="F52" s="14">
        <f t="shared" si="1"/>
        <v>0</v>
      </c>
      <c r="J52" s="34"/>
      <c r="K52" s="34"/>
    </row>
    <row r="53" spans="1:11" x14ac:dyDescent="0.25">
      <c r="A53" s="10">
        <v>8.6399999999999899</v>
      </c>
      <c r="B53" s="10"/>
      <c r="C53" s="30"/>
      <c r="D53" s="5"/>
      <c r="E53" s="4">
        <f>IF(D53&lt;&gt;0,('Modelo Atmosférico'!$B$9/'Modelo Atmosférico'!$B$10)*((POWER(D53/'Modelo Atmosférico'!$B$14,(-'Modelo Atmosférico'!$B$11*'Modelo Atmosférico'!$B$10)/('Modelo Atmosférico'!$B$12*'Modelo Atmosférico'!$B$13)))-1),0)</f>
        <v>0</v>
      </c>
      <c r="F53" s="14">
        <f t="shared" si="1"/>
        <v>0</v>
      </c>
      <c r="J53" s="34"/>
      <c r="K53" s="34"/>
    </row>
    <row r="54" spans="1:11" x14ac:dyDescent="0.25">
      <c r="A54" s="10">
        <v>8.8319999999999901</v>
      </c>
      <c r="B54" s="10"/>
      <c r="C54" s="30"/>
      <c r="D54" s="5"/>
      <c r="E54" s="4">
        <f>IF(D54&lt;&gt;0,('Modelo Atmosférico'!$B$9/'Modelo Atmosférico'!$B$10)*((POWER(D54/'Modelo Atmosférico'!$B$14,(-'Modelo Atmosférico'!$B$11*'Modelo Atmosférico'!$B$10)/('Modelo Atmosférico'!$B$12*'Modelo Atmosférico'!$B$13)))-1),0)</f>
        <v>0</v>
      </c>
      <c r="F54" s="14">
        <f t="shared" si="1"/>
        <v>0</v>
      </c>
      <c r="J54" s="34"/>
      <c r="K54" s="34"/>
    </row>
    <row r="55" spans="1:11" x14ac:dyDescent="0.25">
      <c r="A55" s="10">
        <v>9.0239999999999903</v>
      </c>
      <c r="B55" s="10"/>
      <c r="C55" s="30"/>
      <c r="D55" s="5"/>
      <c r="E55" s="4">
        <f>IF(D55&lt;&gt;0,('Modelo Atmosférico'!$B$9/'Modelo Atmosférico'!$B$10)*((POWER(D55/'Modelo Atmosférico'!$B$14,(-'Modelo Atmosférico'!$B$11*'Modelo Atmosférico'!$B$10)/('Modelo Atmosférico'!$B$12*'Modelo Atmosférico'!$B$13)))-1),0)</f>
        <v>0</v>
      </c>
      <c r="F55" s="14">
        <f t="shared" si="1"/>
        <v>0</v>
      </c>
      <c r="J55" s="34"/>
      <c r="K55" s="34"/>
    </row>
    <row r="56" spans="1:11" x14ac:dyDescent="0.25">
      <c r="A56" s="10">
        <v>9.2159999999999904</v>
      </c>
      <c r="B56" s="10"/>
      <c r="C56" s="30"/>
      <c r="D56" s="5"/>
      <c r="E56" s="4">
        <f>IF(D56&lt;&gt;0,('Modelo Atmosférico'!$B$9/'Modelo Atmosférico'!$B$10)*((POWER(D56/'Modelo Atmosférico'!$B$14,(-'Modelo Atmosférico'!$B$11*'Modelo Atmosférico'!$B$10)/('Modelo Atmosférico'!$B$12*'Modelo Atmosférico'!$B$13)))-1),0)</f>
        <v>0</v>
      </c>
      <c r="F56" s="14">
        <f t="shared" si="1"/>
        <v>0</v>
      </c>
      <c r="J56" s="34"/>
      <c r="K56" s="34"/>
    </row>
    <row r="57" spans="1:11" x14ac:dyDescent="0.25">
      <c r="A57" s="10">
        <v>9.4079999999999906</v>
      </c>
      <c r="B57" s="10"/>
      <c r="C57" s="30"/>
      <c r="D57" s="5"/>
      <c r="E57" s="4">
        <f>IF(D57&lt;&gt;0,('Modelo Atmosférico'!$B$9/'Modelo Atmosférico'!$B$10)*((POWER(D57/'Modelo Atmosférico'!$B$14,(-'Modelo Atmosférico'!$B$11*'Modelo Atmosférico'!$B$10)/('Modelo Atmosférico'!$B$12*'Modelo Atmosférico'!$B$13)))-1),0)</f>
        <v>0</v>
      </c>
      <c r="F57" s="14">
        <f t="shared" si="1"/>
        <v>0</v>
      </c>
      <c r="J57" s="34"/>
      <c r="K57" s="34"/>
    </row>
    <row r="58" spans="1:11" x14ac:dyDescent="0.25">
      <c r="A58" s="10">
        <v>9.5999999999999908</v>
      </c>
      <c r="B58" s="10"/>
      <c r="C58" s="30"/>
      <c r="D58" s="5"/>
      <c r="E58" s="4">
        <f>IF(D58&lt;&gt;0,('Modelo Atmosférico'!$B$9/'Modelo Atmosférico'!$B$10)*((POWER(D58/'Modelo Atmosférico'!$B$14,(-'Modelo Atmosférico'!$B$11*'Modelo Atmosférico'!$B$10)/('Modelo Atmosférico'!$B$12*'Modelo Atmosférico'!$B$13)))-1),0)</f>
        <v>0</v>
      </c>
      <c r="F58" s="14">
        <f t="shared" si="1"/>
        <v>0</v>
      </c>
      <c r="J58" s="34"/>
      <c r="K58" s="34"/>
    </row>
    <row r="59" spans="1:11" x14ac:dyDescent="0.25">
      <c r="A59" s="10">
        <v>9.7919999999999892</v>
      </c>
      <c r="B59" s="10"/>
      <c r="C59" s="30"/>
      <c r="D59" s="5"/>
      <c r="E59" s="4">
        <f>IF(D59&lt;&gt;0,('Modelo Atmosférico'!$B$9/'Modelo Atmosférico'!$B$10)*((POWER(D59/'Modelo Atmosférico'!$B$14,(-'Modelo Atmosférico'!$B$11*'Modelo Atmosférico'!$B$10)/('Modelo Atmosférico'!$B$12*'Modelo Atmosférico'!$B$13)))-1),0)</f>
        <v>0</v>
      </c>
      <c r="F59" s="14">
        <f t="shared" si="1"/>
        <v>0</v>
      </c>
      <c r="J59" s="34"/>
      <c r="K59" s="34"/>
    </row>
    <row r="60" spans="1:11" x14ac:dyDescent="0.25">
      <c r="A60" s="10">
        <v>9.9839999999999893</v>
      </c>
      <c r="B60" s="10"/>
      <c r="C60" s="30"/>
      <c r="D60" s="5"/>
      <c r="E60" s="4">
        <f>IF(D60&lt;&gt;0,('Modelo Atmosférico'!$B$9/'Modelo Atmosférico'!$B$10)*((POWER(D60/'Modelo Atmosférico'!$B$14,(-'Modelo Atmosférico'!$B$11*'Modelo Atmosférico'!$B$10)/('Modelo Atmosférico'!$B$12*'Modelo Atmosférico'!$B$13)))-1),0)</f>
        <v>0</v>
      </c>
      <c r="F60" s="14">
        <f t="shared" si="1"/>
        <v>0</v>
      </c>
      <c r="J60" s="34"/>
      <c r="K60" s="34"/>
    </row>
    <row r="61" spans="1:11" x14ac:dyDescent="0.25">
      <c r="A61" s="10">
        <v>10.176</v>
      </c>
      <c r="B61" s="10"/>
      <c r="C61" s="30"/>
      <c r="D61" s="5"/>
      <c r="E61" s="4">
        <f>IF(D61&lt;&gt;0,('Modelo Atmosférico'!$B$9/'Modelo Atmosférico'!$B$10)*((POWER(D61/'Modelo Atmosférico'!$B$14,(-'Modelo Atmosférico'!$B$11*'Modelo Atmosférico'!$B$10)/('Modelo Atmosférico'!$B$12*'Modelo Atmosférico'!$B$13)))-1),0)</f>
        <v>0</v>
      </c>
      <c r="F61" s="14">
        <f t="shared" si="1"/>
        <v>0</v>
      </c>
      <c r="J61" s="34"/>
      <c r="K61" s="34"/>
    </row>
    <row r="62" spans="1:11" x14ac:dyDescent="0.25">
      <c r="A62" s="10">
        <v>10.368</v>
      </c>
      <c r="B62" s="10"/>
      <c r="C62" s="30"/>
      <c r="D62" s="5"/>
      <c r="E62" s="4">
        <f>IF(D62&lt;&gt;0,('Modelo Atmosférico'!$B$9/'Modelo Atmosférico'!$B$10)*((POWER(D62/'Modelo Atmosférico'!$B$14,(-'Modelo Atmosférico'!$B$11*'Modelo Atmosférico'!$B$10)/('Modelo Atmosférico'!$B$12*'Modelo Atmosférico'!$B$13)))-1),0)</f>
        <v>0</v>
      </c>
      <c r="F62" s="14">
        <f t="shared" si="1"/>
        <v>0</v>
      </c>
      <c r="J62" s="34"/>
      <c r="K62" s="34"/>
    </row>
    <row r="63" spans="1:11" x14ac:dyDescent="0.25">
      <c r="A63" s="10">
        <v>10.56</v>
      </c>
      <c r="B63" s="10"/>
      <c r="C63" s="30"/>
      <c r="D63" s="5"/>
      <c r="E63" s="4">
        <f>IF(D63&lt;&gt;0,('Modelo Atmosférico'!$B$9/'Modelo Atmosférico'!$B$10)*((POWER(D63/'Modelo Atmosférico'!$B$14,(-'Modelo Atmosférico'!$B$11*'Modelo Atmosférico'!$B$10)/('Modelo Atmosférico'!$B$12*'Modelo Atmosférico'!$B$13)))-1),0)</f>
        <v>0</v>
      </c>
      <c r="F63" s="14">
        <f t="shared" si="1"/>
        <v>0</v>
      </c>
      <c r="J63" s="34"/>
      <c r="K63" s="34"/>
    </row>
    <row r="64" spans="1:11" x14ac:dyDescent="0.25">
      <c r="A64" s="10">
        <v>10.752000000000001</v>
      </c>
      <c r="B64" s="10"/>
      <c r="C64" s="30"/>
      <c r="D64" s="5"/>
      <c r="E64" s="4">
        <f>IF(D64&lt;&gt;0,('Modelo Atmosférico'!$B$9/'Modelo Atmosférico'!$B$10)*((POWER(D64/'Modelo Atmosférico'!$B$14,(-'Modelo Atmosférico'!$B$11*'Modelo Atmosférico'!$B$10)/('Modelo Atmosférico'!$B$12*'Modelo Atmosférico'!$B$13)))-1),0)</f>
        <v>0</v>
      </c>
      <c r="F64" s="14">
        <f t="shared" si="1"/>
        <v>0</v>
      </c>
      <c r="J64" s="34"/>
      <c r="K64" s="34"/>
    </row>
    <row r="65" spans="1:11" x14ac:dyDescent="0.25">
      <c r="A65" s="10">
        <v>10.944000000000001</v>
      </c>
      <c r="B65" s="10"/>
      <c r="C65" s="30"/>
      <c r="D65" s="5"/>
      <c r="E65" s="4">
        <f>IF(D65&lt;&gt;0,('Modelo Atmosférico'!$B$9/'Modelo Atmosférico'!$B$10)*((POWER(D65/'Modelo Atmosférico'!$B$14,(-'Modelo Atmosférico'!$B$11*'Modelo Atmosférico'!$B$10)/('Modelo Atmosférico'!$B$12*'Modelo Atmosférico'!$B$13)))-1),0)</f>
        <v>0</v>
      </c>
      <c r="F65" s="14">
        <f t="shared" si="1"/>
        <v>0</v>
      </c>
      <c r="J65" s="34"/>
      <c r="K65" s="34"/>
    </row>
    <row r="66" spans="1:11" x14ac:dyDescent="0.25">
      <c r="A66" s="10">
        <v>11.135999999999999</v>
      </c>
      <c r="B66" s="10"/>
      <c r="C66" s="30"/>
      <c r="D66" s="5"/>
      <c r="E66" s="4">
        <f>IF(D66&lt;&gt;0,('Modelo Atmosférico'!$B$9/'Modelo Atmosférico'!$B$10)*((POWER(D66/'Modelo Atmosférico'!$B$14,(-'Modelo Atmosférico'!$B$11*'Modelo Atmosférico'!$B$10)/('Modelo Atmosférico'!$B$12*'Modelo Atmosférico'!$B$13)))-1),0)</f>
        <v>0</v>
      </c>
      <c r="F66" s="14">
        <f t="shared" si="1"/>
        <v>0</v>
      </c>
      <c r="J66" s="34"/>
      <c r="K66" s="34"/>
    </row>
    <row r="67" spans="1:11" x14ac:dyDescent="0.25">
      <c r="A67" s="10">
        <v>11.327999999999999</v>
      </c>
      <c r="B67" s="10"/>
      <c r="C67" s="30"/>
      <c r="D67" s="5"/>
      <c r="E67" s="4">
        <f>IF(D67&lt;&gt;0,('Modelo Atmosférico'!$B$9/'Modelo Atmosférico'!$B$10)*((POWER(D67/'Modelo Atmosférico'!$B$14,(-'Modelo Atmosférico'!$B$11*'Modelo Atmosférico'!$B$10)/('Modelo Atmosférico'!$B$12*'Modelo Atmosférico'!$B$13)))-1),0)</f>
        <v>0</v>
      </c>
      <c r="F67" s="14">
        <f t="shared" si="1"/>
        <v>0</v>
      </c>
      <c r="J67" s="34"/>
      <c r="K67" s="34"/>
    </row>
    <row r="68" spans="1:11" x14ac:dyDescent="0.25">
      <c r="A68" s="10">
        <v>11.52</v>
      </c>
      <c r="B68" s="10"/>
      <c r="C68" s="30"/>
      <c r="D68" s="5"/>
      <c r="E68" s="4">
        <f>IF(D68&lt;&gt;0,('Modelo Atmosférico'!$B$9/'Modelo Atmosférico'!$B$10)*((POWER(D68/'Modelo Atmosférico'!$B$14,(-'Modelo Atmosférico'!$B$11*'Modelo Atmosférico'!$B$10)/('Modelo Atmosférico'!$B$12*'Modelo Atmosférico'!$B$13)))-1),0)</f>
        <v>0</v>
      </c>
      <c r="F68" s="14">
        <f t="shared" si="1"/>
        <v>0</v>
      </c>
      <c r="J68" s="34"/>
      <c r="K68" s="34"/>
    </row>
    <row r="69" spans="1:11" x14ac:dyDescent="0.25">
      <c r="A69" s="10">
        <v>11.712</v>
      </c>
      <c r="B69" s="10"/>
      <c r="C69" s="30"/>
      <c r="D69" s="5"/>
      <c r="E69" s="4">
        <f>IF(D69&lt;&gt;0,('Modelo Atmosférico'!$B$9/'Modelo Atmosférico'!$B$10)*((POWER(D69/'Modelo Atmosférico'!$B$14,(-'Modelo Atmosférico'!$B$11*'Modelo Atmosférico'!$B$10)/('Modelo Atmosférico'!$B$12*'Modelo Atmosférico'!$B$13)))-1),0)</f>
        <v>0</v>
      </c>
      <c r="F69" s="14">
        <f t="shared" si="1"/>
        <v>0</v>
      </c>
      <c r="J69" s="34"/>
      <c r="K69" s="34"/>
    </row>
    <row r="70" spans="1:11" x14ac:dyDescent="0.25">
      <c r="A70" s="10">
        <v>11.904</v>
      </c>
      <c r="B70" s="10"/>
      <c r="C70" s="30"/>
      <c r="D70" s="5"/>
      <c r="E70" s="4">
        <f>IF(D70&lt;&gt;0,('Modelo Atmosférico'!$B$9/'Modelo Atmosférico'!$B$10)*((POWER(D70/'Modelo Atmosférico'!$B$14,(-'Modelo Atmosférico'!$B$11*'Modelo Atmosférico'!$B$10)/('Modelo Atmosférico'!$B$12*'Modelo Atmosférico'!$B$13)))-1),0)</f>
        <v>0</v>
      </c>
      <c r="F70" s="14">
        <f t="shared" si="1"/>
        <v>0</v>
      </c>
      <c r="J70" s="34"/>
      <c r="K70" s="34"/>
    </row>
    <row r="71" spans="1:11" x14ac:dyDescent="0.25">
      <c r="A71" s="10">
        <v>12.096</v>
      </c>
      <c r="B71" s="10"/>
      <c r="C71" s="30"/>
      <c r="D71" s="5"/>
      <c r="E71" s="4">
        <f>IF(D71&lt;&gt;0,('Modelo Atmosférico'!$B$9/'Modelo Atmosférico'!$B$10)*((POWER(D71/'Modelo Atmosférico'!$B$14,(-'Modelo Atmosférico'!$B$11*'Modelo Atmosférico'!$B$10)/('Modelo Atmosférico'!$B$12*'Modelo Atmosférico'!$B$13)))-1),0)</f>
        <v>0</v>
      </c>
      <c r="F71" s="14">
        <f t="shared" si="1"/>
        <v>0</v>
      </c>
      <c r="J71" s="34"/>
      <c r="K71" s="34"/>
    </row>
    <row r="72" spans="1:11" x14ac:dyDescent="0.25">
      <c r="A72" s="10">
        <v>12.288</v>
      </c>
      <c r="B72" s="10"/>
      <c r="C72" s="30"/>
      <c r="D72" s="5"/>
      <c r="E72" s="4">
        <f>IF(D72&lt;&gt;0,('Modelo Atmosférico'!$B$9/'Modelo Atmosférico'!$B$10)*((POWER(D72/'Modelo Atmosférico'!$B$14,(-'Modelo Atmosférico'!$B$11*'Modelo Atmosférico'!$B$10)/('Modelo Atmosférico'!$B$12*'Modelo Atmosférico'!$B$13)))-1),0)</f>
        <v>0</v>
      </c>
      <c r="F72" s="14">
        <f t="shared" si="1"/>
        <v>0</v>
      </c>
      <c r="J72" s="34"/>
      <c r="K72" s="34"/>
    </row>
    <row r="73" spans="1:11" x14ac:dyDescent="0.25">
      <c r="A73" s="10">
        <v>12.48</v>
      </c>
      <c r="B73" s="10"/>
      <c r="C73" s="30"/>
      <c r="D73" s="5"/>
      <c r="E73" s="4">
        <f>IF(D73&lt;&gt;0,('Modelo Atmosférico'!$B$9/'Modelo Atmosférico'!$B$10)*((POWER(D73/'Modelo Atmosférico'!$B$14,(-'Modelo Atmosférico'!$B$11*'Modelo Atmosférico'!$B$10)/('Modelo Atmosférico'!$B$12*'Modelo Atmosférico'!$B$13)))-1),0)</f>
        <v>0</v>
      </c>
      <c r="F73" s="14">
        <f t="shared" si="1"/>
        <v>0</v>
      </c>
      <c r="J73" s="34"/>
      <c r="K73" s="34"/>
    </row>
    <row r="74" spans="1:11" x14ac:dyDescent="0.25">
      <c r="A74" s="10">
        <v>12.672000000000001</v>
      </c>
      <c r="B74" s="10"/>
      <c r="C74" s="30"/>
      <c r="D74" s="5"/>
      <c r="E74" s="4">
        <f>IF(D74&lt;&gt;0,('Modelo Atmosférico'!$B$9/'Modelo Atmosférico'!$B$10)*((POWER(D74/'Modelo Atmosférico'!$B$14,(-'Modelo Atmosférico'!$B$11*'Modelo Atmosférico'!$B$10)/('Modelo Atmosférico'!$B$12*'Modelo Atmosférico'!$B$13)))-1),0)</f>
        <v>0</v>
      </c>
      <c r="F74" s="14">
        <f t="shared" si="1"/>
        <v>0</v>
      </c>
      <c r="J74" s="34"/>
      <c r="K74" s="34"/>
    </row>
    <row r="75" spans="1:11" x14ac:dyDescent="0.25">
      <c r="A75" s="10">
        <v>12.864000000000001</v>
      </c>
      <c r="B75" s="10"/>
      <c r="C75" s="30"/>
      <c r="D75" s="5"/>
      <c r="E75" s="4">
        <f>IF(D75&lt;&gt;0,('Modelo Atmosférico'!$B$9/'Modelo Atmosférico'!$B$10)*((POWER(D75/'Modelo Atmosférico'!$B$14,(-'Modelo Atmosférico'!$B$11*'Modelo Atmosférico'!$B$10)/('Modelo Atmosférico'!$B$12*'Modelo Atmosférico'!$B$13)))-1),0)</f>
        <v>0</v>
      </c>
      <c r="F75" s="14">
        <f t="shared" si="1"/>
        <v>0</v>
      </c>
      <c r="J75" s="34"/>
      <c r="K75" s="34"/>
    </row>
    <row r="76" spans="1:11" x14ac:dyDescent="0.25">
      <c r="A76" s="10">
        <v>13.055999999999999</v>
      </c>
      <c r="B76" s="10"/>
      <c r="C76" s="30"/>
      <c r="D76" s="5"/>
      <c r="E76" s="4">
        <f>IF(D76&lt;&gt;0,('Modelo Atmosférico'!$B$9/'Modelo Atmosférico'!$B$10)*((POWER(D76/'Modelo Atmosférico'!$B$14,(-'Modelo Atmosférico'!$B$11*'Modelo Atmosférico'!$B$10)/('Modelo Atmosférico'!$B$12*'Modelo Atmosférico'!$B$13)))-1),0)</f>
        <v>0</v>
      </c>
      <c r="F76" s="14">
        <f t="shared" si="1"/>
        <v>0</v>
      </c>
      <c r="J76" s="34"/>
      <c r="K76" s="34"/>
    </row>
    <row r="77" spans="1:11" x14ac:dyDescent="0.25">
      <c r="A77" s="10">
        <v>13.247999999999999</v>
      </c>
      <c r="B77" s="10"/>
      <c r="C77" s="30"/>
      <c r="D77" s="5"/>
      <c r="E77" s="4">
        <f>IF(D77&lt;&gt;0,('Modelo Atmosférico'!$B$9/'Modelo Atmosférico'!$B$10)*((POWER(D77/'Modelo Atmosférico'!$B$14,(-'Modelo Atmosférico'!$B$11*'Modelo Atmosférico'!$B$10)/('Modelo Atmosférico'!$B$12*'Modelo Atmosférico'!$B$13)))-1),0)</f>
        <v>0</v>
      </c>
      <c r="F77" s="14">
        <f t="shared" si="1"/>
        <v>0</v>
      </c>
      <c r="J77" s="34"/>
      <c r="K77" s="34"/>
    </row>
    <row r="78" spans="1:11" x14ac:dyDescent="0.25">
      <c r="A78" s="10">
        <v>13.44</v>
      </c>
      <c r="B78" s="10"/>
      <c r="C78" s="30"/>
      <c r="D78" s="5"/>
      <c r="E78" s="4">
        <f>IF(D78&lt;&gt;0,('Modelo Atmosférico'!$B$9/'Modelo Atmosférico'!$B$10)*((POWER(D78/'Modelo Atmosférico'!$B$14,(-'Modelo Atmosférico'!$B$11*'Modelo Atmosférico'!$B$10)/('Modelo Atmosférico'!$B$12*'Modelo Atmosférico'!$B$13)))-1),0)</f>
        <v>0</v>
      </c>
      <c r="F78" s="14">
        <f t="shared" si="1"/>
        <v>0</v>
      </c>
      <c r="J78" s="34"/>
      <c r="K78" s="34"/>
    </row>
    <row r="79" spans="1:11" x14ac:dyDescent="0.25">
      <c r="A79" s="10">
        <v>13.632</v>
      </c>
      <c r="B79" s="10"/>
      <c r="C79" s="30"/>
      <c r="D79" s="5"/>
      <c r="E79" s="4">
        <f>IF(D79&lt;&gt;0,('Modelo Atmosférico'!$B$9/'Modelo Atmosférico'!$B$10)*((POWER(D79/'Modelo Atmosférico'!$B$14,(-'Modelo Atmosférico'!$B$11*'Modelo Atmosférico'!$B$10)/('Modelo Atmosférico'!$B$12*'Modelo Atmosférico'!$B$13)))-1),0)</f>
        <v>0</v>
      </c>
      <c r="F79" s="14">
        <f t="shared" si="1"/>
        <v>0</v>
      </c>
      <c r="J79" s="34"/>
      <c r="K79" s="34"/>
    </row>
    <row r="80" spans="1:11" x14ac:dyDescent="0.25">
      <c r="A80" s="10">
        <v>13.824</v>
      </c>
      <c r="B80" s="10"/>
      <c r="C80" s="30"/>
      <c r="D80" s="5"/>
      <c r="E80" s="4">
        <f>IF(D80&lt;&gt;0,('Modelo Atmosférico'!$B$9/'Modelo Atmosférico'!$B$10)*((POWER(D80/'Modelo Atmosférico'!$B$14,(-'Modelo Atmosférico'!$B$11*'Modelo Atmosférico'!$B$10)/('Modelo Atmosférico'!$B$12*'Modelo Atmosférico'!$B$13)))-1),0)</f>
        <v>0</v>
      </c>
      <c r="F80" s="14">
        <f t="shared" si="1"/>
        <v>0</v>
      </c>
      <c r="J80" s="34"/>
      <c r="K80" s="34"/>
    </row>
    <row r="81" spans="1:11" x14ac:dyDescent="0.25">
      <c r="A81" s="10">
        <v>14.016</v>
      </c>
      <c r="B81" s="10"/>
      <c r="C81" s="30"/>
      <c r="D81" s="5"/>
      <c r="E81" s="4">
        <f>IF(D81&lt;&gt;0,('Modelo Atmosférico'!$B$9/'Modelo Atmosférico'!$B$10)*((POWER(D81/'Modelo Atmosférico'!$B$14,(-'Modelo Atmosférico'!$B$11*'Modelo Atmosférico'!$B$10)/('Modelo Atmosférico'!$B$12*'Modelo Atmosférico'!$B$13)))-1),0)</f>
        <v>0</v>
      </c>
      <c r="F81" s="14">
        <f t="shared" si="1"/>
        <v>0</v>
      </c>
      <c r="J81" s="34"/>
      <c r="K81" s="34"/>
    </row>
    <row r="82" spans="1:11" x14ac:dyDescent="0.25">
      <c r="A82" s="10">
        <v>14.208</v>
      </c>
      <c r="B82" s="10"/>
      <c r="C82" s="30"/>
      <c r="D82" s="5"/>
      <c r="E82" s="4">
        <f>IF(D82&lt;&gt;0,('Modelo Atmosférico'!$B$9/'Modelo Atmosférico'!$B$10)*((POWER(D82/'Modelo Atmosférico'!$B$14,(-'Modelo Atmosférico'!$B$11*'Modelo Atmosférico'!$B$10)/('Modelo Atmosférico'!$B$12*'Modelo Atmosférico'!$B$13)))-1),0)</f>
        <v>0</v>
      </c>
      <c r="F82" s="14">
        <f t="shared" si="1"/>
        <v>0</v>
      </c>
      <c r="J82" s="34"/>
      <c r="K82" s="34"/>
    </row>
    <row r="83" spans="1:11" x14ac:dyDescent="0.25">
      <c r="A83" s="10">
        <v>14.4</v>
      </c>
      <c r="B83" s="10"/>
      <c r="C83" s="30"/>
      <c r="D83" s="5"/>
      <c r="E83" s="4">
        <f>IF(D83&lt;&gt;0,('Modelo Atmosférico'!$B$9/'Modelo Atmosférico'!$B$10)*((POWER(D83/'Modelo Atmosférico'!$B$14,(-'Modelo Atmosférico'!$B$11*'Modelo Atmosférico'!$B$10)/('Modelo Atmosférico'!$B$12*'Modelo Atmosférico'!$B$13)))-1),0)</f>
        <v>0</v>
      </c>
      <c r="F83" s="14">
        <f t="shared" si="1"/>
        <v>0</v>
      </c>
      <c r="J83" s="34"/>
      <c r="K83" s="34"/>
    </row>
    <row r="84" spans="1:11" x14ac:dyDescent="0.25">
      <c r="A84" s="10">
        <v>14.592000000000001</v>
      </c>
      <c r="B84" s="10"/>
      <c r="C84" s="30"/>
      <c r="D84" s="5"/>
      <c r="E84" s="4">
        <f>IF(D84&lt;&gt;0,('Modelo Atmosférico'!$B$9/'Modelo Atmosférico'!$B$10)*((POWER(D84/'Modelo Atmosférico'!$B$14,(-'Modelo Atmosférico'!$B$11*'Modelo Atmosférico'!$B$10)/('Modelo Atmosférico'!$B$12*'Modelo Atmosférico'!$B$13)))-1),0)</f>
        <v>0</v>
      </c>
      <c r="F84" s="14">
        <f t="shared" si="1"/>
        <v>0</v>
      </c>
      <c r="J84" s="34"/>
      <c r="K84" s="34"/>
    </row>
    <row r="85" spans="1:11" x14ac:dyDescent="0.25">
      <c r="A85" s="10">
        <v>14.784000000000001</v>
      </c>
      <c r="B85" s="10"/>
      <c r="C85" s="30"/>
      <c r="D85" s="5"/>
      <c r="E85" s="4">
        <f>IF(D85&lt;&gt;0,('Modelo Atmosférico'!$B$9/'Modelo Atmosférico'!$B$10)*((POWER(D85/'Modelo Atmosférico'!$B$14,(-'Modelo Atmosférico'!$B$11*'Modelo Atmosférico'!$B$10)/('Modelo Atmosférico'!$B$12*'Modelo Atmosférico'!$B$13)))-1),0)</f>
        <v>0</v>
      </c>
      <c r="F85" s="14">
        <f t="shared" si="1"/>
        <v>0</v>
      </c>
      <c r="J85" s="34"/>
      <c r="K85" s="34"/>
    </row>
    <row r="86" spans="1:11" x14ac:dyDescent="0.25">
      <c r="A86" s="10">
        <v>14.976000000000001</v>
      </c>
      <c r="B86" s="10"/>
      <c r="C86" s="30"/>
      <c r="D86" s="5"/>
      <c r="E86" s="4">
        <f>IF(D86&lt;&gt;0,('Modelo Atmosférico'!$B$9/'Modelo Atmosférico'!$B$10)*((POWER(D86/'Modelo Atmosférico'!$B$14,(-'Modelo Atmosférico'!$B$11*'Modelo Atmosférico'!$B$10)/('Modelo Atmosférico'!$B$12*'Modelo Atmosférico'!$B$13)))-1),0)</f>
        <v>0</v>
      </c>
      <c r="F86" s="14">
        <f t="shared" si="1"/>
        <v>0</v>
      </c>
      <c r="J86" s="34"/>
      <c r="K86" s="34"/>
    </row>
    <row r="87" spans="1:11" x14ac:dyDescent="0.25">
      <c r="A87" s="10">
        <v>15.167999999999999</v>
      </c>
      <c r="B87" s="10"/>
      <c r="C87" s="30"/>
      <c r="D87" s="5"/>
      <c r="E87" s="4">
        <f>IF(D87&lt;&gt;0,('Modelo Atmosférico'!$B$9/'Modelo Atmosférico'!$B$10)*((POWER(D87/'Modelo Atmosférico'!$B$14,(-'Modelo Atmosférico'!$B$11*'Modelo Atmosférico'!$B$10)/('Modelo Atmosférico'!$B$12*'Modelo Atmosférico'!$B$13)))-1),0)</f>
        <v>0</v>
      </c>
      <c r="F87" s="14">
        <f t="shared" si="1"/>
        <v>0</v>
      </c>
      <c r="J87" s="34"/>
      <c r="K87" s="34"/>
    </row>
    <row r="88" spans="1:11" x14ac:dyDescent="0.25">
      <c r="A88" s="10">
        <v>15.36</v>
      </c>
      <c r="B88" s="10"/>
      <c r="C88" s="30"/>
      <c r="D88" s="5"/>
      <c r="E88" s="4">
        <f>IF(D88&lt;&gt;0,('Modelo Atmosférico'!$B$9/'Modelo Atmosférico'!$B$10)*((POWER(D88/'Modelo Atmosférico'!$B$14,(-'Modelo Atmosférico'!$B$11*'Modelo Atmosférico'!$B$10)/('Modelo Atmosférico'!$B$12*'Modelo Atmosférico'!$B$13)))-1),0)</f>
        <v>0</v>
      </c>
      <c r="F88" s="14">
        <f t="shared" si="1"/>
        <v>0</v>
      </c>
      <c r="J88" s="34"/>
      <c r="K88" s="34"/>
    </row>
    <row r="89" spans="1:11" x14ac:dyDescent="0.25">
      <c r="A89" s="10">
        <v>15.552</v>
      </c>
      <c r="B89" s="10"/>
      <c r="C89" s="30"/>
      <c r="D89" s="5"/>
      <c r="E89" s="4">
        <f>IF(D89&lt;&gt;0,('Modelo Atmosférico'!$B$9/'Modelo Atmosférico'!$B$10)*((POWER(D89/'Modelo Atmosférico'!$B$14,(-'Modelo Atmosférico'!$B$11*'Modelo Atmosférico'!$B$10)/('Modelo Atmosférico'!$B$12*'Modelo Atmosférico'!$B$13)))-1),0)</f>
        <v>0</v>
      </c>
      <c r="F89" s="14">
        <f t="shared" si="1"/>
        <v>0</v>
      </c>
      <c r="J89" s="34"/>
      <c r="K89" s="34"/>
    </row>
    <row r="90" spans="1:11" x14ac:dyDescent="0.25">
      <c r="A90" s="10">
        <v>15.744</v>
      </c>
      <c r="B90" s="10"/>
      <c r="C90" s="30"/>
      <c r="D90" s="5"/>
      <c r="E90" s="4">
        <f>IF(D90&lt;&gt;0,('Modelo Atmosférico'!$B$9/'Modelo Atmosférico'!$B$10)*((POWER(D90/'Modelo Atmosférico'!$B$14,(-'Modelo Atmosférico'!$B$11*'Modelo Atmosférico'!$B$10)/('Modelo Atmosférico'!$B$12*'Modelo Atmosférico'!$B$13)))-1),0)</f>
        <v>0</v>
      </c>
      <c r="F90" s="14">
        <f t="shared" si="1"/>
        <v>0</v>
      </c>
      <c r="J90" s="34"/>
      <c r="K90" s="34"/>
    </row>
    <row r="91" spans="1:11" x14ac:dyDescent="0.25">
      <c r="A91" s="10">
        <v>15.936</v>
      </c>
      <c r="B91" s="10"/>
      <c r="C91" s="30"/>
      <c r="D91" s="5"/>
      <c r="E91" s="4">
        <f>IF(D91&lt;&gt;0,('Modelo Atmosférico'!$B$9/'Modelo Atmosférico'!$B$10)*((POWER(D91/'Modelo Atmosférico'!$B$14,(-'Modelo Atmosférico'!$B$11*'Modelo Atmosférico'!$B$10)/('Modelo Atmosférico'!$B$12*'Modelo Atmosférico'!$B$13)))-1),0)</f>
        <v>0</v>
      </c>
      <c r="F91" s="14">
        <f t="shared" si="1"/>
        <v>0</v>
      </c>
      <c r="J91" s="34"/>
      <c r="K91" s="34"/>
    </row>
    <row r="92" spans="1:11" x14ac:dyDescent="0.25">
      <c r="A92" s="10">
        <v>16.128</v>
      </c>
      <c r="B92" s="10"/>
      <c r="C92" s="30"/>
      <c r="D92" s="5"/>
      <c r="E92" s="4">
        <f>IF(D92&lt;&gt;0,('Modelo Atmosférico'!$B$9/'Modelo Atmosférico'!$B$10)*((POWER(D92/'Modelo Atmosférico'!$B$14,(-'Modelo Atmosférico'!$B$11*'Modelo Atmosférico'!$B$10)/('Modelo Atmosférico'!$B$12*'Modelo Atmosférico'!$B$13)))-1),0)</f>
        <v>0</v>
      </c>
      <c r="F92" s="14">
        <f t="shared" si="1"/>
        <v>0</v>
      </c>
      <c r="J92" s="34"/>
      <c r="K92" s="34"/>
    </row>
    <row r="93" spans="1:11" x14ac:dyDescent="0.25">
      <c r="A93" s="10">
        <v>16.32</v>
      </c>
      <c r="B93" s="10"/>
      <c r="C93" s="30"/>
      <c r="D93" s="5"/>
      <c r="E93" s="4">
        <f>IF(D93&lt;&gt;0,('Modelo Atmosférico'!$B$9/'Modelo Atmosférico'!$B$10)*((POWER(D93/'Modelo Atmosférico'!$B$14,(-'Modelo Atmosférico'!$B$11*'Modelo Atmosférico'!$B$10)/('Modelo Atmosférico'!$B$12*'Modelo Atmosférico'!$B$13)))-1),0)</f>
        <v>0</v>
      </c>
      <c r="F93" s="14">
        <f t="shared" si="1"/>
        <v>0</v>
      </c>
      <c r="J93" s="34"/>
      <c r="K93" s="34"/>
    </row>
    <row r="94" spans="1:11" x14ac:dyDescent="0.25">
      <c r="A94" s="10">
        <v>16.512</v>
      </c>
      <c r="B94" s="10"/>
      <c r="C94" s="30"/>
      <c r="D94" s="5"/>
      <c r="E94" s="4">
        <f>IF(D94&lt;&gt;0,('Modelo Atmosférico'!$B$9/'Modelo Atmosférico'!$B$10)*((POWER(D94/'Modelo Atmosférico'!$B$14,(-'Modelo Atmosférico'!$B$11*'Modelo Atmosférico'!$B$10)/('Modelo Atmosférico'!$B$12*'Modelo Atmosférico'!$B$13)))-1),0)</f>
        <v>0</v>
      </c>
      <c r="F94" s="14">
        <f t="shared" si="1"/>
        <v>0</v>
      </c>
      <c r="J94" s="34"/>
      <c r="K94" s="34"/>
    </row>
    <row r="95" spans="1:11" x14ac:dyDescent="0.25">
      <c r="A95" s="10">
        <v>16.704000000000001</v>
      </c>
      <c r="B95" s="10"/>
      <c r="C95" s="30"/>
      <c r="D95" s="5"/>
      <c r="E95" s="4">
        <f>IF(D95&lt;&gt;0,('Modelo Atmosférico'!$B$9/'Modelo Atmosférico'!$B$10)*((POWER(D95/'Modelo Atmosférico'!$B$14,(-'Modelo Atmosférico'!$B$11*'Modelo Atmosférico'!$B$10)/('Modelo Atmosférico'!$B$12*'Modelo Atmosférico'!$B$13)))-1),0)</f>
        <v>0</v>
      </c>
      <c r="F95" s="14">
        <f t="shared" si="1"/>
        <v>0</v>
      </c>
      <c r="J95" s="34"/>
      <c r="K95" s="34"/>
    </row>
    <row r="96" spans="1:11" x14ac:dyDescent="0.25">
      <c r="A96" s="10">
        <v>16.896000000000001</v>
      </c>
      <c r="B96" s="10"/>
      <c r="C96" s="30"/>
      <c r="D96" s="5"/>
      <c r="E96" s="4">
        <f>IF(D96&lt;&gt;0,('Modelo Atmosférico'!$B$9/'Modelo Atmosférico'!$B$10)*((POWER(D96/'Modelo Atmosférico'!$B$14,(-'Modelo Atmosférico'!$B$11*'Modelo Atmosférico'!$B$10)/('Modelo Atmosférico'!$B$12*'Modelo Atmosférico'!$B$13)))-1),0)</f>
        <v>0</v>
      </c>
      <c r="F96" s="14">
        <f t="shared" si="1"/>
        <v>0</v>
      </c>
      <c r="J96" s="34"/>
      <c r="K96" s="34"/>
    </row>
    <row r="97" spans="1:11" x14ac:dyDescent="0.25">
      <c r="A97" s="10">
        <v>17.088000000000001</v>
      </c>
      <c r="B97" s="10"/>
      <c r="C97" s="30"/>
      <c r="D97" s="5"/>
      <c r="E97" s="4">
        <f>IF(D97&lt;&gt;0,('Modelo Atmosférico'!$B$9/'Modelo Atmosférico'!$B$10)*((POWER(D97/'Modelo Atmosférico'!$B$14,(-'Modelo Atmosférico'!$B$11*'Modelo Atmosférico'!$B$10)/('Modelo Atmosférico'!$B$12*'Modelo Atmosférico'!$B$13)))-1),0)</f>
        <v>0</v>
      </c>
      <c r="F97" s="14">
        <f t="shared" si="1"/>
        <v>0</v>
      </c>
      <c r="J97" s="34"/>
      <c r="K97" s="34"/>
    </row>
    <row r="98" spans="1:11" x14ac:dyDescent="0.25">
      <c r="A98" s="10">
        <v>17.28</v>
      </c>
      <c r="B98" s="10"/>
      <c r="C98" s="36"/>
      <c r="D98" s="5"/>
      <c r="E98" s="4">
        <f>IF(D98&lt;&gt;0,('Modelo Atmosférico'!$B$9/'Modelo Atmosférico'!$B$10)*((POWER(D98/'Modelo Atmosférico'!$B$14,(-'Modelo Atmosférico'!$B$11*'Modelo Atmosférico'!$B$10)/('Modelo Atmosférico'!$B$12*'Modelo Atmosférico'!$B$13)))-1),0)</f>
        <v>0</v>
      </c>
      <c r="F98" s="14">
        <f t="shared" si="1"/>
        <v>0</v>
      </c>
      <c r="J98" s="34"/>
      <c r="K98" s="34"/>
    </row>
    <row r="99" spans="1:11" x14ac:dyDescent="0.25">
      <c r="A99" s="10">
        <v>17.472000000000001</v>
      </c>
      <c r="B99" s="10"/>
      <c r="C99" s="36"/>
      <c r="D99" s="5"/>
      <c r="E99" s="4">
        <f>IF(D99&lt;&gt;0,('Modelo Atmosférico'!$B$9/'Modelo Atmosférico'!$B$10)*((POWER(D99/'Modelo Atmosférico'!$B$14,(-'Modelo Atmosférico'!$B$11*'Modelo Atmosférico'!$B$10)/('Modelo Atmosférico'!$B$12*'Modelo Atmosférico'!$B$13)))-1),0)</f>
        <v>0</v>
      </c>
      <c r="F99" s="14">
        <f t="shared" ref="F99:F162" si="2">IF(D99&lt;&gt;0,E99-$E$3,0)</f>
        <v>0</v>
      </c>
      <c r="J99" s="34"/>
      <c r="K99" s="34"/>
    </row>
    <row r="100" spans="1:11" x14ac:dyDescent="0.25">
      <c r="A100" s="10">
        <v>17.664000000000001</v>
      </c>
      <c r="B100" s="10"/>
      <c r="C100" s="36"/>
      <c r="D100" s="5"/>
      <c r="E100" s="4">
        <f>IF(D100&lt;&gt;0,('Modelo Atmosférico'!$B$9/'Modelo Atmosférico'!$B$10)*((POWER(D100/'Modelo Atmosférico'!$B$14,(-'Modelo Atmosférico'!$B$11*'Modelo Atmosférico'!$B$10)/('Modelo Atmosférico'!$B$12*'Modelo Atmosférico'!$B$13)))-1),0)</f>
        <v>0</v>
      </c>
      <c r="F100" s="14">
        <f t="shared" si="2"/>
        <v>0</v>
      </c>
      <c r="J100" s="34"/>
      <c r="K100" s="34"/>
    </row>
    <row r="101" spans="1:11" x14ac:dyDescent="0.25">
      <c r="A101" s="10">
        <v>17.856000000000002</v>
      </c>
      <c r="B101" s="10"/>
      <c r="C101" s="36"/>
      <c r="D101" s="5"/>
      <c r="E101" s="4">
        <f>IF(D101&lt;&gt;0,('Modelo Atmosférico'!$B$9/'Modelo Atmosférico'!$B$10)*((POWER(D101/'Modelo Atmosférico'!$B$14,(-'Modelo Atmosférico'!$B$11*'Modelo Atmosférico'!$B$10)/('Modelo Atmosférico'!$B$12*'Modelo Atmosférico'!$B$13)))-1),0)</f>
        <v>0</v>
      </c>
      <c r="F101" s="14">
        <f t="shared" si="2"/>
        <v>0</v>
      </c>
      <c r="J101" s="34"/>
      <c r="K101" s="34"/>
    </row>
    <row r="102" spans="1:11" x14ac:dyDescent="0.25">
      <c r="A102" s="10">
        <v>18.047999999999998</v>
      </c>
      <c r="B102" s="10"/>
      <c r="C102" s="36"/>
      <c r="D102" s="5"/>
      <c r="E102" s="4">
        <f>IF(D102&lt;&gt;0,('Modelo Atmosférico'!$B$9/'Modelo Atmosférico'!$B$10)*((POWER(D102/'Modelo Atmosférico'!$B$14,(-'Modelo Atmosférico'!$B$11*'Modelo Atmosférico'!$B$10)/('Modelo Atmosférico'!$B$12*'Modelo Atmosférico'!$B$13)))-1),0)</f>
        <v>0</v>
      </c>
      <c r="F102" s="14">
        <f t="shared" si="2"/>
        <v>0</v>
      </c>
      <c r="J102" s="34"/>
      <c r="K102" s="34"/>
    </row>
    <row r="103" spans="1:11" x14ac:dyDescent="0.25">
      <c r="A103" s="10">
        <v>18.239999999999998</v>
      </c>
      <c r="B103" s="10"/>
      <c r="C103" s="36"/>
      <c r="D103" s="5"/>
      <c r="E103" s="4">
        <f>IF(D103&lt;&gt;0,('Modelo Atmosférico'!$B$9/'Modelo Atmosférico'!$B$10)*((POWER(D103/'Modelo Atmosférico'!$B$14,(-'Modelo Atmosférico'!$B$11*'Modelo Atmosférico'!$B$10)/('Modelo Atmosférico'!$B$12*'Modelo Atmosférico'!$B$13)))-1),0)</f>
        <v>0</v>
      </c>
      <c r="F103" s="14">
        <f t="shared" si="2"/>
        <v>0</v>
      </c>
      <c r="J103" s="34"/>
      <c r="K103" s="34"/>
    </row>
    <row r="104" spans="1:11" x14ac:dyDescent="0.25">
      <c r="A104" s="10">
        <v>18.431999999999999</v>
      </c>
      <c r="B104" s="10"/>
      <c r="C104" s="36"/>
      <c r="D104" s="5"/>
      <c r="E104" s="4">
        <f>IF(D104&lt;&gt;0,('Modelo Atmosférico'!$B$9/'Modelo Atmosférico'!$B$10)*((POWER(D104/'Modelo Atmosférico'!$B$14,(-'Modelo Atmosférico'!$B$11*'Modelo Atmosférico'!$B$10)/('Modelo Atmosférico'!$B$12*'Modelo Atmosférico'!$B$13)))-1),0)</f>
        <v>0</v>
      </c>
      <c r="F104" s="14">
        <f t="shared" si="2"/>
        <v>0</v>
      </c>
      <c r="J104" s="34"/>
      <c r="K104" s="34"/>
    </row>
    <row r="105" spans="1:11" x14ac:dyDescent="0.25">
      <c r="A105" s="10">
        <v>18.623999999999999</v>
      </c>
      <c r="B105" s="10"/>
      <c r="C105" s="36"/>
      <c r="D105" s="5"/>
      <c r="E105" s="4">
        <f>IF(D105&lt;&gt;0,('Modelo Atmosférico'!$B$9/'Modelo Atmosférico'!$B$10)*((POWER(D105/'Modelo Atmosférico'!$B$14,(-'Modelo Atmosférico'!$B$11*'Modelo Atmosférico'!$B$10)/('Modelo Atmosférico'!$B$12*'Modelo Atmosférico'!$B$13)))-1),0)</f>
        <v>0</v>
      </c>
      <c r="F105" s="14">
        <f t="shared" si="2"/>
        <v>0</v>
      </c>
      <c r="J105" s="34"/>
      <c r="K105" s="34"/>
    </row>
    <row r="106" spans="1:11" x14ac:dyDescent="0.25">
      <c r="A106" s="10">
        <v>18.815999999999999</v>
      </c>
      <c r="B106" s="10"/>
      <c r="C106" s="36"/>
      <c r="D106" s="5"/>
      <c r="E106" s="4">
        <f>IF(D106&lt;&gt;0,('Modelo Atmosférico'!$B$9/'Modelo Atmosférico'!$B$10)*((POWER(D106/'Modelo Atmosférico'!$B$14,(-'Modelo Atmosférico'!$B$11*'Modelo Atmosférico'!$B$10)/('Modelo Atmosférico'!$B$12*'Modelo Atmosférico'!$B$13)))-1),0)</f>
        <v>0</v>
      </c>
      <c r="F106" s="14">
        <f t="shared" si="2"/>
        <v>0</v>
      </c>
      <c r="J106" s="34"/>
      <c r="K106" s="34"/>
    </row>
    <row r="107" spans="1:11" x14ac:dyDescent="0.25">
      <c r="A107" s="10">
        <v>19.007999999999999</v>
      </c>
      <c r="B107" s="10"/>
      <c r="C107" s="36"/>
      <c r="D107" s="5"/>
      <c r="E107" s="4">
        <f>IF(D107&lt;&gt;0,('Modelo Atmosférico'!$B$9/'Modelo Atmosférico'!$B$10)*((POWER(D107/'Modelo Atmosférico'!$B$14,(-'Modelo Atmosférico'!$B$11*'Modelo Atmosférico'!$B$10)/('Modelo Atmosférico'!$B$12*'Modelo Atmosférico'!$B$13)))-1),0)</f>
        <v>0</v>
      </c>
      <c r="F107" s="14">
        <f t="shared" si="2"/>
        <v>0</v>
      </c>
      <c r="J107" s="34"/>
      <c r="K107" s="34"/>
    </row>
    <row r="108" spans="1:11" x14ac:dyDescent="0.25">
      <c r="A108" s="10">
        <v>19.2</v>
      </c>
      <c r="B108" s="10"/>
      <c r="C108" s="36"/>
      <c r="D108" s="5"/>
      <c r="E108" s="4">
        <f>IF(D108&lt;&gt;0,('Modelo Atmosférico'!$B$9/'Modelo Atmosférico'!$B$10)*((POWER(D108/'Modelo Atmosférico'!$B$14,(-'Modelo Atmosférico'!$B$11*'Modelo Atmosférico'!$B$10)/('Modelo Atmosférico'!$B$12*'Modelo Atmosférico'!$B$13)))-1),0)</f>
        <v>0</v>
      </c>
      <c r="F108" s="14">
        <f t="shared" si="2"/>
        <v>0</v>
      </c>
      <c r="J108" s="34"/>
      <c r="K108" s="34"/>
    </row>
    <row r="109" spans="1:11" x14ac:dyDescent="0.25">
      <c r="A109" s="10">
        <v>19.391999999999999</v>
      </c>
      <c r="B109" s="10"/>
      <c r="C109" s="36"/>
      <c r="D109" s="5"/>
      <c r="E109" s="4">
        <f>IF(D109&lt;&gt;0,('Modelo Atmosférico'!$B$9/'Modelo Atmosférico'!$B$10)*((POWER(D109/'Modelo Atmosférico'!$B$14,(-'Modelo Atmosférico'!$B$11*'Modelo Atmosférico'!$B$10)/('Modelo Atmosférico'!$B$12*'Modelo Atmosférico'!$B$13)))-1),0)</f>
        <v>0</v>
      </c>
      <c r="F109" s="14">
        <f t="shared" si="2"/>
        <v>0</v>
      </c>
      <c r="J109" s="34"/>
      <c r="K109" s="34"/>
    </row>
    <row r="110" spans="1:11" x14ac:dyDescent="0.25">
      <c r="A110" s="10">
        <v>19.584</v>
      </c>
      <c r="B110" s="10"/>
      <c r="C110" s="36"/>
      <c r="D110" s="5"/>
      <c r="E110" s="4">
        <f>IF(D110&lt;&gt;0,('Modelo Atmosférico'!$B$9/'Modelo Atmosférico'!$B$10)*((POWER(D110/'Modelo Atmosférico'!$B$14,(-'Modelo Atmosférico'!$B$11*'Modelo Atmosférico'!$B$10)/('Modelo Atmosférico'!$B$12*'Modelo Atmosférico'!$B$13)))-1),0)</f>
        <v>0</v>
      </c>
      <c r="F110" s="14">
        <f t="shared" si="2"/>
        <v>0</v>
      </c>
      <c r="J110" s="34"/>
      <c r="K110" s="34"/>
    </row>
    <row r="111" spans="1:11" x14ac:dyDescent="0.25">
      <c r="A111" s="10">
        <v>19.776</v>
      </c>
      <c r="B111" s="10"/>
      <c r="C111" s="36"/>
      <c r="D111" s="5"/>
      <c r="E111" s="4">
        <f>IF(D111&lt;&gt;0,('Modelo Atmosférico'!$B$9/'Modelo Atmosférico'!$B$10)*((POWER(D111/'Modelo Atmosférico'!$B$14,(-'Modelo Atmosférico'!$B$11*'Modelo Atmosférico'!$B$10)/('Modelo Atmosférico'!$B$12*'Modelo Atmosférico'!$B$13)))-1),0)</f>
        <v>0</v>
      </c>
      <c r="F111" s="14">
        <f t="shared" si="2"/>
        <v>0</v>
      </c>
      <c r="J111" s="34"/>
      <c r="K111" s="34"/>
    </row>
    <row r="112" spans="1:11" x14ac:dyDescent="0.25">
      <c r="A112" s="10">
        <v>19.968</v>
      </c>
      <c r="B112" s="10"/>
      <c r="C112" s="36"/>
      <c r="D112" s="5"/>
      <c r="E112" s="4">
        <f>IF(D112&lt;&gt;0,('Modelo Atmosférico'!$B$9/'Modelo Atmosférico'!$B$10)*((POWER(D112/'Modelo Atmosférico'!$B$14,(-'Modelo Atmosférico'!$B$11*'Modelo Atmosférico'!$B$10)/('Modelo Atmosférico'!$B$12*'Modelo Atmosférico'!$B$13)))-1),0)</f>
        <v>0</v>
      </c>
      <c r="F112" s="14">
        <f t="shared" si="2"/>
        <v>0</v>
      </c>
      <c r="J112" s="34"/>
      <c r="K112" s="34"/>
    </row>
    <row r="113" spans="1:11" x14ac:dyDescent="0.25">
      <c r="A113" s="10">
        <v>20.16</v>
      </c>
      <c r="B113" s="10"/>
      <c r="C113" s="36"/>
      <c r="D113" s="5"/>
      <c r="E113" s="4">
        <f>IF(D113&lt;&gt;0,('Modelo Atmosférico'!$B$9/'Modelo Atmosférico'!$B$10)*((POWER(D113/'Modelo Atmosférico'!$B$14,(-'Modelo Atmosférico'!$B$11*'Modelo Atmosférico'!$B$10)/('Modelo Atmosférico'!$B$12*'Modelo Atmosférico'!$B$13)))-1),0)</f>
        <v>0</v>
      </c>
      <c r="F113" s="14">
        <f t="shared" si="2"/>
        <v>0</v>
      </c>
      <c r="J113" s="34"/>
      <c r="K113" s="34"/>
    </row>
    <row r="114" spans="1:11" x14ac:dyDescent="0.25">
      <c r="A114" s="10">
        <v>20.352</v>
      </c>
      <c r="B114" s="10"/>
      <c r="C114" s="36"/>
      <c r="D114" s="5"/>
      <c r="E114" s="4">
        <f>IF(D114&lt;&gt;0,('Modelo Atmosférico'!$B$9/'Modelo Atmosférico'!$B$10)*((POWER(D114/'Modelo Atmosférico'!$B$14,(-'Modelo Atmosférico'!$B$11*'Modelo Atmosférico'!$B$10)/('Modelo Atmosférico'!$B$12*'Modelo Atmosférico'!$B$13)))-1),0)</f>
        <v>0</v>
      </c>
      <c r="F114" s="14">
        <f t="shared" si="2"/>
        <v>0</v>
      </c>
      <c r="J114" s="34"/>
      <c r="K114" s="34"/>
    </row>
    <row r="115" spans="1:11" x14ac:dyDescent="0.25">
      <c r="A115" s="10">
        <v>20.544</v>
      </c>
      <c r="B115" s="10"/>
      <c r="C115" s="36"/>
      <c r="D115" s="5"/>
      <c r="E115" s="4">
        <f>IF(D115&lt;&gt;0,('Modelo Atmosférico'!$B$9/'Modelo Atmosférico'!$B$10)*((POWER(D115/'Modelo Atmosférico'!$B$14,(-'Modelo Atmosférico'!$B$11*'Modelo Atmosférico'!$B$10)/('Modelo Atmosférico'!$B$12*'Modelo Atmosférico'!$B$13)))-1),0)</f>
        <v>0</v>
      </c>
      <c r="F115" s="14">
        <f t="shared" si="2"/>
        <v>0</v>
      </c>
      <c r="J115" s="34"/>
      <c r="K115" s="34"/>
    </row>
    <row r="116" spans="1:11" x14ac:dyDescent="0.25">
      <c r="A116" s="10">
        <v>20.736000000000001</v>
      </c>
      <c r="B116" s="10"/>
      <c r="C116" s="36"/>
      <c r="D116" s="5"/>
      <c r="E116" s="4">
        <f>IF(D116&lt;&gt;0,('Modelo Atmosférico'!$B$9/'Modelo Atmosférico'!$B$10)*((POWER(D116/'Modelo Atmosférico'!$B$14,(-'Modelo Atmosférico'!$B$11*'Modelo Atmosférico'!$B$10)/('Modelo Atmosférico'!$B$12*'Modelo Atmosférico'!$B$13)))-1),0)</f>
        <v>0</v>
      </c>
      <c r="F116" s="14">
        <f t="shared" si="2"/>
        <v>0</v>
      </c>
      <c r="J116" s="34"/>
      <c r="K116" s="34"/>
    </row>
    <row r="117" spans="1:11" x14ac:dyDescent="0.25">
      <c r="A117" s="10">
        <v>20.928000000000001</v>
      </c>
      <c r="B117" s="10"/>
      <c r="C117" s="36"/>
      <c r="D117" s="5"/>
      <c r="E117" s="4">
        <f>IF(D117&lt;&gt;0,('Modelo Atmosférico'!$B$9/'Modelo Atmosférico'!$B$10)*((POWER(D117/'Modelo Atmosférico'!$B$14,(-'Modelo Atmosférico'!$B$11*'Modelo Atmosférico'!$B$10)/('Modelo Atmosférico'!$B$12*'Modelo Atmosférico'!$B$13)))-1),0)</f>
        <v>0</v>
      </c>
      <c r="F117" s="14">
        <f t="shared" si="2"/>
        <v>0</v>
      </c>
      <c r="J117" s="34"/>
      <c r="K117" s="34"/>
    </row>
    <row r="118" spans="1:11" x14ac:dyDescent="0.25">
      <c r="A118" s="10">
        <v>21.12</v>
      </c>
      <c r="B118" s="10"/>
      <c r="C118" s="36"/>
      <c r="D118" s="5"/>
      <c r="E118" s="4">
        <f>IF(D118&lt;&gt;0,('Modelo Atmosférico'!$B$9/'Modelo Atmosférico'!$B$10)*((POWER(D118/'Modelo Atmosférico'!$B$14,(-'Modelo Atmosférico'!$B$11*'Modelo Atmosférico'!$B$10)/('Modelo Atmosférico'!$B$12*'Modelo Atmosférico'!$B$13)))-1),0)</f>
        <v>0</v>
      </c>
      <c r="F118" s="14">
        <f t="shared" si="2"/>
        <v>0</v>
      </c>
      <c r="J118" s="34"/>
      <c r="K118" s="34"/>
    </row>
    <row r="119" spans="1:11" x14ac:dyDescent="0.25">
      <c r="A119" s="10">
        <v>21.312000000000001</v>
      </c>
      <c r="B119" s="10"/>
      <c r="C119" s="36"/>
      <c r="D119" s="5"/>
      <c r="E119" s="4">
        <f>IF(D119&lt;&gt;0,('Modelo Atmosférico'!$B$9/'Modelo Atmosférico'!$B$10)*((POWER(D119/'Modelo Atmosférico'!$B$14,(-'Modelo Atmosférico'!$B$11*'Modelo Atmosférico'!$B$10)/('Modelo Atmosférico'!$B$12*'Modelo Atmosférico'!$B$13)))-1),0)</f>
        <v>0</v>
      </c>
      <c r="F119" s="14">
        <f t="shared" si="2"/>
        <v>0</v>
      </c>
      <c r="J119" s="34"/>
      <c r="K119" s="34"/>
    </row>
    <row r="120" spans="1:11" x14ac:dyDescent="0.25">
      <c r="A120" s="10">
        <v>21.504000000000001</v>
      </c>
      <c r="B120" s="10"/>
      <c r="C120" s="36"/>
      <c r="D120" s="5"/>
      <c r="E120" s="4">
        <f>IF(D120&lt;&gt;0,('Modelo Atmosférico'!$B$9/'Modelo Atmosférico'!$B$10)*((POWER(D120/'Modelo Atmosférico'!$B$14,(-'Modelo Atmosférico'!$B$11*'Modelo Atmosférico'!$B$10)/('Modelo Atmosférico'!$B$12*'Modelo Atmosférico'!$B$13)))-1),0)</f>
        <v>0</v>
      </c>
      <c r="F120" s="14">
        <f t="shared" si="2"/>
        <v>0</v>
      </c>
      <c r="J120" s="34"/>
      <c r="K120" s="34"/>
    </row>
    <row r="121" spans="1:11" x14ac:dyDescent="0.25">
      <c r="A121" s="10">
        <v>21.696000000000002</v>
      </c>
      <c r="B121" s="10"/>
      <c r="C121" s="36"/>
      <c r="D121" s="5"/>
      <c r="E121" s="4">
        <f>IF(D121&lt;&gt;0,('Modelo Atmosférico'!$B$9/'Modelo Atmosférico'!$B$10)*((POWER(D121/'Modelo Atmosférico'!$B$14,(-'Modelo Atmosférico'!$B$11*'Modelo Atmosférico'!$B$10)/('Modelo Atmosférico'!$B$12*'Modelo Atmosférico'!$B$13)))-1),0)</f>
        <v>0</v>
      </c>
      <c r="F121" s="14">
        <f t="shared" si="2"/>
        <v>0</v>
      </c>
      <c r="J121" s="34"/>
      <c r="K121" s="34"/>
    </row>
    <row r="122" spans="1:11" x14ac:dyDescent="0.25">
      <c r="A122" s="10">
        <v>21.888000000000002</v>
      </c>
      <c r="B122" s="10"/>
      <c r="C122" s="36"/>
      <c r="D122" s="5"/>
      <c r="E122" s="4">
        <f>IF(D122&lt;&gt;0,('Modelo Atmosférico'!$B$9/'Modelo Atmosférico'!$B$10)*((POWER(D122/'Modelo Atmosférico'!$B$14,(-'Modelo Atmosférico'!$B$11*'Modelo Atmosférico'!$B$10)/('Modelo Atmosférico'!$B$12*'Modelo Atmosférico'!$B$13)))-1),0)</f>
        <v>0</v>
      </c>
      <c r="F122" s="14">
        <f t="shared" si="2"/>
        <v>0</v>
      </c>
      <c r="J122" s="34"/>
      <c r="K122" s="34"/>
    </row>
    <row r="123" spans="1:11" x14ac:dyDescent="0.25">
      <c r="A123" s="10">
        <v>22.08</v>
      </c>
      <c r="B123" s="10"/>
      <c r="C123" s="36"/>
      <c r="D123" s="5"/>
      <c r="E123" s="4">
        <f>IF(D123&lt;&gt;0,('Modelo Atmosférico'!$B$9/'Modelo Atmosférico'!$B$10)*((POWER(D123/'Modelo Atmosférico'!$B$14,(-'Modelo Atmosférico'!$B$11*'Modelo Atmosférico'!$B$10)/('Modelo Atmosférico'!$B$12*'Modelo Atmosférico'!$B$13)))-1),0)</f>
        <v>0</v>
      </c>
      <c r="F123" s="14">
        <f t="shared" si="2"/>
        <v>0</v>
      </c>
      <c r="J123" s="34"/>
      <c r="K123" s="34"/>
    </row>
    <row r="124" spans="1:11" x14ac:dyDescent="0.25">
      <c r="A124" s="10">
        <v>22.271999999999998</v>
      </c>
      <c r="B124" s="10"/>
      <c r="C124" s="36"/>
      <c r="D124" s="5"/>
      <c r="E124" s="4">
        <f>IF(D124&lt;&gt;0,('Modelo Atmosférico'!$B$9/'Modelo Atmosférico'!$B$10)*((POWER(D124/'Modelo Atmosférico'!$B$14,(-'Modelo Atmosférico'!$B$11*'Modelo Atmosférico'!$B$10)/('Modelo Atmosférico'!$B$12*'Modelo Atmosférico'!$B$13)))-1),0)</f>
        <v>0</v>
      </c>
      <c r="F124" s="14">
        <f t="shared" si="2"/>
        <v>0</v>
      </c>
      <c r="J124" s="34"/>
      <c r="K124" s="34"/>
    </row>
    <row r="125" spans="1:11" x14ac:dyDescent="0.25">
      <c r="A125" s="10">
        <v>22.463999999999999</v>
      </c>
      <c r="B125" s="10"/>
      <c r="C125" s="36"/>
      <c r="D125" s="5"/>
      <c r="E125" s="4">
        <f>IF(D125&lt;&gt;0,('Modelo Atmosférico'!$B$9/'Modelo Atmosférico'!$B$10)*((POWER(D125/'Modelo Atmosférico'!$B$14,(-'Modelo Atmosférico'!$B$11*'Modelo Atmosférico'!$B$10)/('Modelo Atmosférico'!$B$12*'Modelo Atmosférico'!$B$13)))-1),0)</f>
        <v>0</v>
      </c>
      <c r="F125" s="14">
        <f t="shared" si="2"/>
        <v>0</v>
      </c>
      <c r="J125" s="34"/>
      <c r="K125" s="34"/>
    </row>
    <row r="126" spans="1:11" x14ac:dyDescent="0.25">
      <c r="A126" s="10">
        <v>22.655999999999999</v>
      </c>
      <c r="B126" s="10"/>
      <c r="C126" s="36"/>
      <c r="D126" s="5"/>
      <c r="E126" s="4">
        <f>IF(D126&lt;&gt;0,('Modelo Atmosférico'!$B$9/'Modelo Atmosférico'!$B$10)*((POWER(D126/'Modelo Atmosférico'!$B$14,(-'Modelo Atmosférico'!$B$11*'Modelo Atmosférico'!$B$10)/('Modelo Atmosférico'!$B$12*'Modelo Atmosférico'!$B$13)))-1),0)</f>
        <v>0</v>
      </c>
      <c r="F126" s="14">
        <f t="shared" si="2"/>
        <v>0</v>
      </c>
      <c r="J126" s="34"/>
      <c r="K126" s="34"/>
    </row>
    <row r="127" spans="1:11" x14ac:dyDescent="0.25">
      <c r="A127" s="10">
        <v>22.847999999999999</v>
      </c>
      <c r="B127" s="10"/>
      <c r="C127" s="36"/>
      <c r="D127" s="5"/>
      <c r="E127" s="4">
        <f>IF(D127&lt;&gt;0,('Modelo Atmosférico'!$B$9/'Modelo Atmosférico'!$B$10)*((POWER(D127/'Modelo Atmosférico'!$B$14,(-'Modelo Atmosférico'!$B$11*'Modelo Atmosférico'!$B$10)/('Modelo Atmosférico'!$B$12*'Modelo Atmosférico'!$B$13)))-1),0)</f>
        <v>0</v>
      </c>
      <c r="F127" s="14">
        <f t="shared" si="2"/>
        <v>0</v>
      </c>
      <c r="J127" s="34"/>
      <c r="K127" s="34"/>
    </row>
    <row r="128" spans="1:11" x14ac:dyDescent="0.25">
      <c r="A128" s="10">
        <v>23.04</v>
      </c>
      <c r="B128" s="10"/>
      <c r="C128" s="36"/>
      <c r="D128" s="5"/>
      <c r="E128" s="4">
        <f>IF(D128&lt;&gt;0,('Modelo Atmosférico'!$B$9/'Modelo Atmosférico'!$B$10)*((POWER(D128/'Modelo Atmosférico'!$B$14,(-'Modelo Atmosférico'!$B$11*'Modelo Atmosférico'!$B$10)/('Modelo Atmosférico'!$B$12*'Modelo Atmosférico'!$B$13)))-1),0)</f>
        <v>0</v>
      </c>
      <c r="F128" s="14">
        <f t="shared" si="2"/>
        <v>0</v>
      </c>
      <c r="J128" s="34"/>
      <c r="K128" s="34"/>
    </row>
    <row r="129" spans="1:11" x14ac:dyDescent="0.25">
      <c r="A129" s="10">
        <v>23.231999999999999</v>
      </c>
      <c r="B129" s="10"/>
      <c r="C129" s="36"/>
      <c r="D129" s="5"/>
      <c r="E129" s="4">
        <f>IF(D129&lt;&gt;0,('Modelo Atmosférico'!$B$9/'Modelo Atmosférico'!$B$10)*((POWER(D129/'Modelo Atmosférico'!$B$14,(-'Modelo Atmosférico'!$B$11*'Modelo Atmosférico'!$B$10)/('Modelo Atmosférico'!$B$12*'Modelo Atmosférico'!$B$13)))-1),0)</f>
        <v>0</v>
      </c>
      <c r="F129" s="14">
        <f t="shared" si="2"/>
        <v>0</v>
      </c>
      <c r="J129" s="34"/>
      <c r="K129" s="34"/>
    </row>
    <row r="130" spans="1:11" x14ac:dyDescent="0.25">
      <c r="A130" s="10">
        <v>23.423999999999999</v>
      </c>
      <c r="B130" s="10"/>
      <c r="C130" s="36"/>
      <c r="D130" s="5"/>
      <c r="E130" s="4">
        <f>IF(D130&lt;&gt;0,('Modelo Atmosférico'!$B$9/'Modelo Atmosférico'!$B$10)*((POWER(D130/'Modelo Atmosférico'!$B$14,(-'Modelo Atmosférico'!$B$11*'Modelo Atmosférico'!$B$10)/('Modelo Atmosférico'!$B$12*'Modelo Atmosférico'!$B$13)))-1),0)</f>
        <v>0</v>
      </c>
      <c r="F130" s="14">
        <f t="shared" si="2"/>
        <v>0</v>
      </c>
      <c r="J130" s="34"/>
      <c r="K130" s="34"/>
    </row>
    <row r="131" spans="1:11" x14ac:dyDescent="0.25">
      <c r="A131" s="10">
        <v>23.616</v>
      </c>
      <c r="B131" s="10"/>
      <c r="C131" s="36"/>
      <c r="D131" s="5"/>
      <c r="E131" s="4">
        <f>IF(D131&lt;&gt;0,('Modelo Atmosférico'!$B$9/'Modelo Atmosférico'!$B$10)*((POWER(D131/'Modelo Atmosférico'!$B$14,(-'Modelo Atmosférico'!$B$11*'Modelo Atmosférico'!$B$10)/('Modelo Atmosférico'!$B$12*'Modelo Atmosférico'!$B$13)))-1),0)</f>
        <v>0</v>
      </c>
      <c r="F131" s="14">
        <f t="shared" si="2"/>
        <v>0</v>
      </c>
      <c r="J131" s="34"/>
      <c r="K131" s="34"/>
    </row>
    <row r="132" spans="1:11" x14ac:dyDescent="0.25">
      <c r="A132" s="10">
        <v>23.808</v>
      </c>
      <c r="B132" s="10"/>
      <c r="C132" s="36"/>
      <c r="D132" s="5"/>
      <c r="E132" s="4">
        <f>IF(D132&lt;&gt;0,('Modelo Atmosférico'!$B$9/'Modelo Atmosférico'!$B$10)*((POWER(D132/'Modelo Atmosférico'!$B$14,(-'Modelo Atmosférico'!$B$11*'Modelo Atmosférico'!$B$10)/('Modelo Atmosférico'!$B$12*'Modelo Atmosférico'!$B$13)))-1),0)</f>
        <v>0</v>
      </c>
      <c r="F132" s="14">
        <f t="shared" si="2"/>
        <v>0</v>
      </c>
      <c r="J132" s="34"/>
      <c r="K132" s="34"/>
    </row>
    <row r="133" spans="1:11" x14ac:dyDescent="0.25">
      <c r="A133" s="10">
        <v>24</v>
      </c>
      <c r="B133" s="10"/>
      <c r="C133" s="36"/>
      <c r="D133" s="5"/>
      <c r="E133" s="4">
        <f>IF(D133&lt;&gt;0,('Modelo Atmosférico'!$B$9/'Modelo Atmosférico'!$B$10)*((POWER(D133/'Modelo Atmosférico'!$B$14,(-'Modelo Atmosférico'!$B$11*'Modelo Atmosférico'!$B$10)/('Modelo Atmosférico'!$B$12*'Modelo Atmosférico'!$B$13)))-1),0)</f>
        <v>0</v>
      </c>
      <c r="F133" s="14">
        <f t="shared" si="2"/>
        <v>0</v>
      </c>
      <c r="J133" s="34"/>
      <c r="K133" s="34"/>
    </row>
    <row r="134" spans="1:11" x14ac:dyDescent="0.25">
      <c r="A134" s="10">
        <v>24.192</v>
      </c>
      <c r="B134" s="10"/>
      <c r="C134" s="36"/>
      <c r="D134" s="5"/>
      <c r="E134" s="4">
        <f>IF(D134&lt;&gt;0,('Modelo Atmosférico'!$B$9/'Modelo Atmosférico'!$B$10)*((POWER(D134/'Modelo Atmosférico'!$B$14,(-'Modelo Atmosférico'!$B$11*'Modelo Atmosférico'!$B$10)/('Modelo Atmosférico'!$B$12*'Modelo Atmosférico'!$B$13)))-1),0)</f>
        <v>0</v>
      </c>
      <c r="F134" s="14">
        <f t="shared" si="2"/>
        <v>0</v>
      </c>
      <c r="J134" s="34"/>
      <c r="K134" s="34"/>
    </row>
    <row r="135" spans="1:11" x14ac:dyDescent="0.25">
      <c r="A135" s="10">
        <v>24.384</v>
      </c>
      <c r="B135" s="10"/>
      <c r="C135" s="36"/>
      <c r="D135" s="5"/>
      <c r="E135" s="4">
        <f>IF(D135&lt;&gt;0,('Modelo Atmosférico'!$B$9/'Modelo Atmosférico'!$B$10)*((POWER(D135/'Modelo Atmosférico'!$B$14,(-'Modelo Atmosférico'!$B$11*'Modelo Atmosférico'!$B$10)/('Modelo Atmosférico'!$B$12*'Modelo Atmosférico'!$B$13)))-1),0)</f>
        <v>0</v>
      </c>
      <c r="F135" s="14">
        <f t="shared" si="2"/>
        <v>0</v>
      </c>
      <c r="J135" s="34"/>
      <c r="K135" s="34"/>
    </row>
    <row r="136" spans="1:11" x14ac:dyDescent="0.25">
      <c r="A136" s="10">
        <v>24.576000000000001</v>
      </c>
      <c r="B136" s="10"/>
      <c r="C136" s="36"/>
      <c r="D136" s="5"/>
      <c r="E136" s="4">
        <f>IF(D136&lt;&gt;0,('Modelo Atmosférico'!$B$9/'Modelo Atmosférico'!$B$10)*((POWER(D136/'Modelo Atmosférico'!$B$14,(-'Modelo Atmosférico'!$B$11*'Modelo Atmosférico'!$B$10)/('Modelo Atmosférico'!$B$12*'Modelo Atmosférico'!$B$13)))-1),0)</f>
        <v>0</v>
      </c>
      <c r="F136" s="14">
        <f t="shared" si="2"/>
        <v>0</v>
      </c>
      <c r="J136" s="34"/>
      <c r="K136" s="34"/>
    </row>
    <row r="137" spans="1:11" x14ac:dyDescent="0.25">
      <c r="A137" s="10">
        <v>24.768000000000001</v>
      </c>
      <c r="B137" s="10"/>
      <c r="C137" s="36"/>
      <c r="D137" s="5"/>
      <c r="E137" s="4">
        <f>IF(D137&lt;&gt;0,('Modelo Atmosférico'!$B$9/'Modelo Atmosférico'!$B$10)*((POWER(D137/'Modelo Atmosférico'!$B$14,(-'Modelo Atmosférico'!$B$11*'Modelo Atmosférico'!$B$10)/('Modelo Atmosférico'!$B$12*'Modelo Atmosférico'!$B$13)))-1),0)</f>
        <v>0</v>
      </c>
      <c r="F137" s="14">
        <f t="shared" si="2"/>
        <v>0</v>
      </c>
      <c r="J137" s="34"/>
      <c r="K137" s="34"/>
    </row>
    <row r="138" spans="1:11" x14ac:dyDescent="0.25">
      <c r="A138" s="10">
        <v>24.96</v>
      </c>
      <c r="B138" s="10"/>
      <c r="C138" s="36"/>
      <c r="D138" s="5"/>
      <c r="E138" s="4">
        <f>IF(D138&lt;&gt;0,('Modelo Atmosférico'!$B$9/'Modelo Atmosférico'!$B$10)*((POWER(D138/'Modelo Atmosférico'!$B$14,(-'Modelo Atmosférico'!$B$11*'Modelo Atmosférico'!$B$10)/('Modelo Atmosférico'!$B$12*'Modelo Atmosférico'!$B$13)))-1),0)</f>
        <v>0</v>
      </c>
      <c r="F138" s="14">
        <f t="shared" si="2"/>
        <v>0</v>
      </c>
      <c r="J138" s="34"/>
      <c r="K138" s="34"/>
    </row>
    <row r="139" spans="1:11" x14ac:dyDescent="0.25">
      <c r="A139" s="10">
        <v>25.152000000000001</v>
      </c>
      <c r="B139" s="10"/>
      <c r="C139" s="36"/>
      <c r="D139" s="5"/>
      <c r="E139" s="4">
        <f>IF(D139&lt;&gt;0,('Modelo Atmosférico'!$B$9/'Modelo Atmosférico'!$B$10)*((POWER(D139/'Modelo Atmosférico'!$B$14,(-'Modelo Atmosférico'!$B$11*'Modelo Atmosférico'!$B$10)/('Modelo Atmosférico'!$B$12*'Modelo Atmosférico'!$B$13)))-1),0)</f>
        <v>0</v>
      </c>
      <c r="F139" s="14">
        <f t="shared" si="2"/>
        <v>0</v>
      </c>
      <c r="J139" s="34"/>
      <c r="K139" s="34"/>
    </row>
    <row r="140" spans="1:11" x14ac:dyDescent="0.25">
      <c r="A140" s="10">
        <v>25.344000000000001</v>
      </c>
      <c r="B140" s="10"/>
      <c r="C140" s="36"/>
      <c r="D140" s="5"/>
      <c r="E140" s="4">
        <f>IF(D140&lt;&gt;0,('Modelo Atmosférico'!$B$9/'Modelo Atmosférico'!$B$10)*((POWER(D140/'Modelo Atmosférico'!$B$14,(-'Modelo Atmosférico'!$B$11*'Modelo Atmosférico'!$B$10)/('Modelo Atmosférico'!$B$12*'Modelo Atmosférico'!$B$13)))-1),0)</f>
        <v>0</v>
      </c>
      <c r="F140" s="14">
        <f t="shared" si="2"/>
        <v>0</v>
      </c>
      <c r="J140" s="34"/>
      <c r="K140" s="34"/>
    </row>
    <row r="141" spans="1:11" x14ac:dyDescent="0.25">
      <c r="A141" s="10">
        <v>25.536000000000001</v>
      </c>
      <c r="B141" s="10"/>
      <c r="C141" s="36"/>
      <c r="D141" s="5"/>
      <c r="E141" s="4">
        <f>IF(D141&lt;&gt;0,('Modelo Atmosférico'!$B$9/'Modelo Atmosférico'!$B$10)*((POWER(D141/'Modelo Atmosférico'!$B$14,(-'Modelo Atmosférico'!$B$11*'Modelo Atmosférico'!$B$10)/('Modelo Atmosférico'!$B$12*'Modelo Atmosférico'!$B$13)))-1),0)</f>
        <v>0</v>
      </c>
      <c r="F141" s="14">
        <f t="shared" si="2"/>
        <v>0</v>
      </c>
      <c r="J141" s="34"/>
      <c r="K141" s="34"/>
    </row>
    <row r="142" spans="1:11" x14ac:dyDescent="0.25">
      <c r="A142" s="10">
        <v>25.728000000000002</v>
      </c>
      <c r="B142" s="10"/>
      <c r="C142" s="36"/>
      <c r="D142" s="5"/>
      <c r="E142" s="4">
        <f>IF(D142&lt;&gt;0,('Modelo Atmosférico'!$B$9/'Modelo Atmosférico'!$B$10)*((POWER(D142/'Modelo Atmosférico'!$B$14,(-'Modelo Atmosférico'!$B$11*'Modelo Atmosférico'!$B$10)/('Modelo Atmosférico'!$B$12*'Modelo Atmosférico'!$B$13)))-1),0)</f>
        <v>0</v>
      </c>
      <c r="F142" s="14">
        <f t="shared" si="2"/>
        <v>0</v>
      </c>
      <c r="J142" s="34"/>
      <c r="K142" s="34"/>
    </row>
    <row r="143" spans="1:11" x14ac:dyDescent="0.25">
      <c r="A143" s="10">
        <v>25.92</v>
      </c>
      <c r="B143" s="10"/>
      <c r="C143" s="36"/>
      <c r="D143" s="5"/>
      <c r="E143" s="4">
        <f>IF(D143&lt;&gt;0,('Modelo Atmosférico'!$B$9/'Modelo Atmosférico'!$B$10)*((POWER(D143/'Modelo Atmosférico'!$B$14,(-'Modelo Atmosférico'!$B$11*'Modelo Atmosférico'!$B$10)/('Modelo Atmosférico'!$B$12*'Modelo Atmosférico'!$B$13)))-1),0)</f>
        <v>0</v>
      </c>
      <c r="F143" s="14">
        <f t="shared" si="2"/>
        <v>0</v>
      </c>
      <c r="J143" s="34"/>
      <c r="K143" s="34"/>
    </row>
    <row r="144" spans="1:11" x14ac:dyDescent="0.25">
      <c r="A144" s="10">
        <v>26.111999999999998</v>
      </c>
      <c r="B144" s="10"/>
      <c r="C144" s="36"/>
      <c r="D144" s="5"/>
      <c r="E144" s="4">
        <f>IF(D144&lt;&gt;0,('Modelo Atmosférico'!$B$9/'Modelo Atmosférico'!$B$10)*((POWER(D144/'Modelo Atmosférico'!$B$14,(-'Modelo Atmosférico'!$B$11*'Modelo Atmosférico'!$B$10)/('Modelo Atmosférico'!$B$12*'Modelo Atmosférico'!$B$13)))-1),0)</f>
        <v>0</v>
      </c>
      <c r="F144" s="14">
        <f t="shared" si="2"/>
        <v>0</v>
      </c>
      <c r="J144" s="34"/>
      <c r="K144" s="34"/>
    </row>
    <row r="145" spans="1:11" x14ac:dyDescent="0.25">
      <c r="A145" s="10">
        <v>26.303999999999998</v>
      </c>
      <c r="B145" s="10"/>
      <c r="C145" s="36"/>
      <c r="D145" s="5"/>
      <c r="E145" s="4">
        <f>IF(D145&lt;&gt;0,('Modelo Atmosférico'!$B$9/'Modelo Atmosférico'!$B$10)*((POWER(D145/'Modelo Atmosférico'!$B$14,(-'Modelo Atmosférico'!$B$11*'Modelo Atmosférico'!$B$10)/('Modelo Atmosférico'!$B$12*'Modelo Atmosférico'!$B$13)))-1),0)</f>
        <v>0</v>
      </c>
      <c r="F145" s="14">
        <f t="shared" si="2"/>
        <v>0</v>
      </c>
      <c r="J145" s="34"/>
      <c r="K145" s="34"/>
    </row>
    <row r="146" spans="1:11" x14ac:dyDescent="0.25">
      <c r="A146" s="10">
        <v>26.495999999999999</v>
      </c>
      <c r="B146" s="10"/>
      <c r="C146" s="36"/>
      <c r="D146" s="5"/>
      <c r="E146" s="4">
        <f>IF(D146&lt;&gt;0,('Modelo Atmosférico'!$B$9/'Modelo Atmosférico'!$B$10)*((POWER(D146/'Modelo Atmosférico'!$B$14,(-'Modelo Atmosférico'!$B$11*'Modelo Atmosférico'!$B$10)/('Modelo Atmosférico'!$B$12*'Modelo Atmosférico'!$B$13)))-1),0)</f>
        <v>0</v>
      </c>
      <c r="F146" s="14">
        <f t="shared" si="2"/>
        <v>0</v>
      </c>
      <c r="J146" s="34"/>
      <c r="K146" s="34"/>
    </row>
    <row r="147" spans="1:11" x14ac:dyDescent="0.25">
      <c r="A147" s="10">
        <v>26.687999999999999</v>
      </c>
      <c r="B147" s="10"/>
      <c r="C147" s="36"/>
      <c r="D147" s="5"/>
      <c r="E147" s="4">
        <f>IF(D147&lt;&gt;0,('Modelo Atmosférico'!$B$9/'Modelo Atmosférico'!$B$10)*((POWER(D147/'Modelo Atmosférico'!$B$14,(-'Modelo Atmosférico'!$B$11*'Modelo Atmosférico'!$B$10)/('Modelo Atmosférico'!$B$12*'Modelo Atmosférico'!$B$13)))-1),0)</f>
        <v>0</v>
      </c>
      <c r="F147" s="14">
        <f t="shared" si="2"/>
        <v>0</v>
      </c>
      <c r="J147" s="34"/>
      <c r="K147" s="34"/>
    </row>
    <row r="148" spans="1:11" x14ac:dyDescent="0.25">
      <c r="A148" s="10">
        <v>26.88</v>
      </c>
      <c r="B148" s="10"/>
      <c r="C148" s="36"/>
      <c r="D148" s="5"/>
      <c r="E148" s="4">
        <f>IF(D148&lt;&gt;0,('Modelo Atmosférico'!$B$9/'Modelo Atmosférico'!$B$10)*((POWER(D148/'Modelo Atmosférico'!$B$14,(-'Modelo Atmosférico'!$B$11*'Modelo Atmosférico'!$B$10)/('Modelo Atmosférico'!$B$12*'Modelo Atmosférico'!$B$13)))-1),0)</f>
        <v>0</v>
      </c>
      <c r="F148" s="14">
        <f t="shared" si="2"/>
        <v>0</v>
      </c>
      <c r="J148" s="34"/>
      <c r="K148" s="34"/>
    </row>
    <row r="149" spans="1:11" x14ac:dyDescent="0.25">
      <c r="A149" s="10">
        <v>27.071999999999999</v>
      </c>
      <c r="B149" s="10"/>
      <c r="C149" s="36"/>
      <c r="D149" s="5"/>
      <c r="E149" s="4">
        <f>IF(D149&lt;&gt;0,('Modelo Atmosférico'!$B$9/'Modelo Atmosférico'!$B$10)*((POWER(D149/'Modelo Atmosférico'!$B$14,(-'Modelo Atmosférico'!$B$11*'Modelo Atmosférico'!$B$10)/('Modelo Atmosférico'!$B$12*'Modelo Atmosférico'!$B$13)))-1),0)</f>
        <v>0</v>
      </c>
      <c r="F149" s="14">
        <f t="shared" si="2"/>
        <v>0</v>
      </c>
      <c r="J149" s="34"/>
      <c r="K149" s="34"/>
    </row>
    <row r="150" spans="1:11" x14ac:dyDescent="0.25">
      <c r="A150" s="10">
        <v>27.263999999999999</v>
      </c>
      <c r="B150" s="10"/>
      <c r="C150" s="36"/>
      <c r="D150" s="5"/>
      <c r="E150" s="4">
        <f>IF(D150&lt;&gt;0,('Modelo Atmosférico'!$B$9/'Modelo Atmosférico'!$B$10)*((POWER(D150/'Modelo Atmosférico'!$B$14,(-'Modelo Atmosférico'!$B$11*'Modelo Atmosférico'!$B$10)/('Modelo Atmosférico'!$B$12*'Modelo Atmosférico'!$B$13)))-1),0)</f>
        <v>0</v>
      </c>
      <c r="F150" s="14">
        <f t="shared" si="2"/>
        <v>0</v>
      </c>
      <c r="J150" s="34"/>
      <c r="K150" s="34"/>
    </row>
    <row r="151" spans="1:11" x14ac:dyDescent="0.25">
      <c r="A151" s="10">
        <v>27.456</v>
      </c>
      <c r="B151" s="10"/>
      <c r="C151" s="36"/>
      <c r="D151" s="5"/>
      <c r="E151" s="4">
        <f>IF(D151&lt;&gt;0,('Modelo Atmosférico'!$B$9/'Modelo Atmosférico'!$B$10)*((POWER(D151/'Modelo Atmosférico'!$B$14,(-'Modelo Atmosférico'!$B$11*'Modelo Atmosférico'!$B$10)/('Modelo Atmosférico'!$B$12*'Modelo Atmosférico'!$B$13)))-1),0)</f>
        <v>0</v>
      </c>
      <c r="F151" s="14">
        <f t="shared" si="2"/>
        <v>0</v>
      </c>
      <c r="J151" s="34"/>
      <c r="K151" s="34"/>
    </row>
    <row r="152" spans="1:11" x14ac:dyDescent="0.25">
      <c r="A152" s="10">
        <v>27.648</v>
      </c>
      <c r="B152" s="10"/>
      <c r="C152" s="36"/>
      <c r="D152" s="5"/>
      <c r="E152" s="4">
        <f>IF(D152&lt;&gt;0,('Modelo Atmosférico'!$B$9/'Modelo Atmosférico'!$B$10)*((POWER(D152/'Modelo Atmosférico'!$B$14,(-'Modelo Atmosférico'!$B$11*'Modelo Atmosférico'!$B$10)/('Modelo Atmosférico'!$B$12*'Modelo Atmosférico'!$B$13)))-1),0)</f>
        <v>0</v>
      </c>
      <c r="F152" s="14">
        <f t="shared" si="2"/>
        <v>0</v>
      </c>
      <c r="J152" s="34"/>
      <c r="K152" s="34"/>
    </row>
    <row r="153" spans="1:11" x14ac:dyDescent="0.25">
      <c r="A153" s="10">
        <v>27.84</v>
      </c>
      <c r="B153" s="10"/>
      <c r="C153" s="36"/>
      <c r="D153" s="5"/>
      <c r="E153" s="4">
        <f>IF(D153&lt;&gt;0,('Modelo Atmosférico'!$B$9/'Modelo Atmosférico'!$B$10)*((POWER(D153/'Modelo Atmosférico'!$B$14,(-'Modelo Atmosférico'!$B$11*'Modelo Atmosférico'!$B$10)/('Modelo Atmosférico'!$B$12*'Modelo Atmosférico'!$B$13)))-1),0)</f>
        <v>0</v>
      </c>
      <c r="F153" s="14">
        <f t="shared" si="2"/>
        <v>0</v>
      </c>
      <c r="J153" s="34"/>
      <c r="K153" s="34"/>
    </row>
    <row r="154" spans="1:11" x14ac:dyDescent="0.25">
      <c r="A154" s="10">
        <v>28.032</v>
      </c>
      <c r="B154" s="10"/>
      <c r="C154" s="36"/>
      <c r="D154" s="5"/>
      <c r="E154" s="4">
        <f>IF(D154&lt;&gt;0,('Modelo Atmosférico'!$B$9/'Modelo Atmosférico'!$B$10)*((POWER(D154/'Modelo Atmosférico'!$B$14,(-'Modelo Atmosférico'!$B$11*'Modelo Atmosférico'!$B$10)/('Modelo Atmosférico'!$B$12*'Modelo Atmosférico'!$B$13)))-1),0)</f>
        <v>0</v>
      </c>
      <c r="F154" s="14">
        <f t="shared" si="2"/>
        <v>0</v>
      </c>
      <c r="J154" s="34"/>
      <c r="K154" s="34"/>
    </row>
    <row r="155" spans="1:11" x14ac:dyDescent="0.25">
      <c r="A155" s="10">
        <v>28.224</v>
      </c>
      <c r="B155" s="10"/>
      <c r="C155" s="36"/>
      <c r="D155" s="5"/>
      <c r="E155" s="4">
        <f>IF(D155&lt;&gt;0,('Modelo Atmosférico'!$B$9/'Modelo Atmosférico'!$B$10)*((POWER(D155/'Modelo Atmosférico'!$B$14,(-'Modelo Atmosférico'!$B$11*'Modelo Atmosférico'!$B$10)/('Modelo Atmosférico'!$B$12*'Modelo Atmosférico'!$B$13)))-1),0)</f>
        <v>0</v>
      </c>
      <c r="F155" s="14">
        <f t="shared" si="2"/>
        <v>0</v>
      </c>
      <c r="J155" s="34"/>
      <c r="K155" s="34"/>
    </row>
    <row r="156" spans="1:11" x14ac:dyDescent="0.25">
      <c r="A156" s="10">
        <v>28.416</v>
      </c>
      <c r="B156" s="10"/>
      <c r="C156" s="36"/>
      <c r="D156" s="5"/>
      <c r="E156" s="4">
        <f>IF(D156&lt;&gt;0,('Modelo Atmosférico'!$B$9/'Modelo Atmosférico'!$B$10)*((POWER(D156/'Modelo Atmosférico'!$B$14,(-'Modelo Atmosférico'!$B$11*'Modelo Atmosférico'!$B$10)/('Modelo Atmosférico'!$B$12*'Modelo Atmosférico'!$B$13)))-1),0)</f>
        <v>0</v>
      </c>
      <c r="F156" s="14">
        <f t="shared" si="2"/>
        <v>0</v>
      </c>
      <c r="J156" s="34"/>
      <c r="K156" s="34"/>
    </row>
    <row r="157" spans="1:11" x14ac:dyDescent="0.25">
      <c r="A157" s="10">
        <v>28.608000000000001</v>
      </c>
      <c r="B157" s="10"/>
      <c r="C157" s="36"/>
      <c r="D157" s="5"/>
      <c r="E157" s="4">
        <f>IF(D157&lt;&gt;0,('Modelo Atmosférico'!$B$9/'Modelo Atmosférico'!$B$10)*((POWER(D157/'Modelo Atmosférico'!$B$14,(-'Modelo Atmosférico'!$B$11*'Modelo Atmosférico'!$B$10)/('Modelo Atmosférico'!$B$12*'Modelo Atmosférico'!$B$13)))-1),0)</f>
        <v>0</v>
      </c>
      <c r="F157" s="14">
        <f t="shared" si="2"/>
        <v>0</v>
      </c>
      <c r="J157" s="34"/>
      <c r="K157" s="34"/>
    </row>
    <row r="158" spans="1:11" x14ac:dyDescent="0.25">
      <c r="A158" s="10">
        <v>28.8</v>
      </c>
      <c r="B158" s="10"/>
      <c r="C158" s="36"/>
      <c r="D158" s="5"/>
      <c r="E158" s="4">
        <f>IF(D158&lt;&gt;0,('Modelo Atmosférico'!$B$9/'Modelo Atmosférico'!$B$10)*((POWER(D158/'Modelo Atmosférico'!$B$14,(-'Modelo Atmosférico'!$B$11*'Modelo Atmosférico'!$B$10)/('Modelo Atmosférico'!$B$12*'Modelo Atmosférico'!$B$13)))-1),0)</f>
        <v>0</v>
      </c>
      <c r="F158" s="14">
        <f t="shared" si="2"/>
        <v>0</v>
      </c>
      <c r="J158" s="34"/>
      <c r="K158" s="34"/>
    </row>
    <row r="159" spans="1:11" x14ac:dyDescent="0.25">
      <c r="A159" s="10">
        <v>28.992000000000001</v>
      </c>
      <c r="B159" s="10"/>
      <c r="C159" s="36"/>
      <c r="D159" s="5"/>
      <c r="E159" s="4">
        <f>IF(D159&lt;&gt;0,('Modelo Atmosférico'!$B$9/'Modelo Atmosférico'!$B$10)*((POWER(D159/'Modelo Atmosférico'!$B$14,(-'Modelo Atmosférico'!$B$11*'Modelo Atmosférico'!$B$10)/('Modelo Atmosférico'!$B$12*'Modelo Atmosférico'!$B$13)))-1),0)</f>
        <v>0</v>
      </c>
      <c r="F159" s="14">
        <f t="shared" si="2"/>
        <v>0</v>
      </c>
      <c r="J159" s="34"/>
      <c r="K159" s="34"/>
    </row>
    <row r="160" spans="1:11" x14ac:dyDescent="0.25">
      <c r="A160" s="10">
        <v>29.184000000000001</v>
      </c>
      <c r="B160" s="10"/>
      <c r="C160" s="36"/>
      <c r="D160" s="5"/>
      <c r="E160" s="4">
        <f>IF(D160&lt;&gt;0,('Modelo Atmosférico'!$B$9/'Modelo Atmosférico'!$B$10)*((POWER(D160/'Modelo Atmosférico'!$B$14,(-'Modelo Atmosférico'!$B$11*'Modelo Atmosférico'!$B$10)/('Modelo Atmosférico'!$B$12*'Modelo Atmosférico'!$B$13)))-1),0)</f>
        <v>0</v>
      </c>
      <c r="F160" s="14">
        <f t="shared" si="2"/>
        <v>0</v>
      </c>
      <c r="J160" s="34"/>
      <c r="K160" s="34"/>
    </row>
    <row r="161" spans="1:11" x14ac:dyDescent="0.25">
      <c r="A161" s="10">
        <v>29.376000000000001</v>
      </c>
      <c r="B161" s="10"/>
      <c r="C161" s="36"/>
      <c r="D161" s="5"/>
      <c r="E161" s="4">
        <f>IF(D161&lt;&gt;0,('Modelo Atmosférico'!$B$9/'Modelo Atmosférico'!$B$10)*((POWER(D161/'Modelo Atmosférico'!$B$14,(-'Modelo Atmosférico'!$B$11*'Modelo Atmosférico'!$B$10)/('Modelo Atmosférico'!$B$12*'Modelo Atmosférico'!$B$13)))-1),0)</f>
        <v>0</v>
      </c>
      <c r="F161" s="14">
        <f t="shared" si="2"/>
        <v>0</v>
      </c>
      <c r="J161" s="34"/>
      <c r="K161" s="34"/>
    </row>
    <row r="162" spans="1:11" x14ac:dyDescent="0.25">
      <c r="A162" s="10">
        <v>29.568000000000001</v>
      </c>
      <c r="B162" s="10"/>
      <c r="C162" s="36"/>
      <c r="D162" s="5"/>
      <c r="E162" s="4">
        <f>IF(D162&lt;&gt;0,('Modelo Atmosférico'!$B$9/'Modelo Atmosférico'!$B$10)*((POWER(D162/'Modelo Atmosférico'!$B$14,(-'Modelo Atmosférico'!$B$11*'Modelo Atmosférico'!$B$10)/('Modelo Atmosférico'!$B$12*'Modelo Atmosférico'!$B$13)))-1),0)</f>
        <v>0</v>
      </c>
      <c r="F162" s="14">
        <f t="shared" si="2"/>
        <v>0</v>
      </c>
      <c r="J162" s="34"/>
      <c r="K162" s="34"/>
    </row>
    <row r="163" spans="1:11" x14ac:dyDescent="0.25">
      <c r="A163" s="10">
        <v>29.76</v>
      </c>
      <c r="B163" s="10"/>
      <c r="C163" s="36"/>
      <c r="D163" s="5"/>
      <c r="E163" s="4">
        <f>IF(D163&lt;&gt;0,('Modelo Atmosférico'!$B$9/'Modelo Atmosférico'!$B$10)*((POWER(D163/'Modelo Atmosférico'!$B$14,(-'Modelo Atmosférico'!$B$11*'Modelo Atmosférico'!$B$10)/('Modelo Atmosférico'!$B$12*'Modelo Atmosférico'!$B$13)))-1),0)</f>
        <v>0</v>
      </c>
      <c r="F163" s="14">
        <f t="shared" ref="F163:F226" si="3">IF(D163&lt;&gt;0,E163-$E$3,0)</f>
        <v>0</v>
      </c>
      <c r="J163" s="34"/>
      <c r="K163" s="34"/>
    </row>
    <row r="164" spans="1:11" x14ac:dyDescent="0.25">
      <c r="A164" s="10">
        <v>29.952000000000002</v>
      </c>
      <c r="B164" s="10"/>
      <c r="C164" s="36"/>
      <c r="D164" s="5"/>
      <c r="E164" s="4">
        <f>IF(D164&lt;&gt;0,('Modelo Atmosférico'!$B$9/'Modelo Atmosférico'!$B$10)*((POWER(D164/'Modelo Atmosférico'!$B$14,(-'Modelo Atmosférico'!$B$11*'Modelo Atmosférico'!$B$10)/('Modelo Atmosférico'!$B$12*'Modelo Atmosférico'!$B$13)))-1),0)</f>
        <v>0</v>
      </c>
      <c r="F164" s="14">
        <f t="shared" si="3"/>
        <v>0</v>
      </c>
      <c r="J164" s="34"/>
      <c r="K164" s="34"/>
    </row>
    <row r="165" spans="1:11" x14ac:dyDescent="0.25">
      <c r="A165" s="10">
        <v>30.143999999999998</v>
      </c>
      <c r="B165" s="10"/>
      <c r="C165" s="36"/>
      <c r="D165" s="5"/>
      <c r="E165" s="4">
        <f>IF(D165&lt;&gt;0,('Modelo Atmosférico'!$B$9/'Modelo Atmosférico'!$B$10)*((POWER(D165/'Modelo Atmosférico'!$B$14,(-'Modelo Atmosférico'!$B$11*'Modelo Atmosférico'!$B$10)/('Modelo Atmosférico'!$B$12*'Modelo Atmosférico'!$B$13)))-1),0)</f>
        <v>0</v>
      </c>
      <c r="F165" s="14">
        <f t="shared" si="3"/>
        <v>0</v>
      </c>
      <c r="J165" s="34"/>
      <c r="K165" s="34"/>
    </row>
    <row r="166" spans="1:11" x14ac:dyDescent="0.25">
      <c r="A166" s="10">
        <v>30.335999999999999</v>
      </c>
      <c r="B166" s="10"/>
      <c r="C166" s="36"/>
      <c r="D166" s="5"/>
      <c r="E166" s="4">
        <f>IF(D166&lt;&gt;0,('Modelo Atmosférico'!$B$9/'Modelo Atmosférico'!$B$10)*((POWER(D166/'Modelo Atmosférico'!$B$14,(-'Modelo Atmosférico'!$B$11*'Modelo Atmosférico'!$B$10)/('Modelo Atmosférico'!$B$12*'Modelo Atmosférico'!$B$13)))-1),0)</f>
        <v>0</v>
      </c>
      <c r="F166" s="14">
        <f t="shared" si="3"/>
        <v>0</v>
      </c>
      <c r="J166" s="34"/>
      <c r="K166" s="34"/>
    </row>
    <row r="167" spans="1:11" x14ac:dyDescent="0.25">
      <c r="A167" s="10">
        <v>30.527999999999999</v>
      </c>
      <c r="B167" s="10"/>
      <c r="C167" s="36"/>
      <c r="D167" s="5"/>
      <c r="E167" s="4">
        <f>IF(D167&lt;&gt;0,('Modelo Atmosférico'!$B$9/'Modelo Atmosférico'!$B$10)*((POWER(D167/'Modelo Atmosférico'!$B$14,(-'Modelo Atmosférico'!$B$11*'Modelo Atmosférico'!$B$10)/('Modelo Atmosférico'!$B$12*'Modelo Atmosférico'!$B$13)))-1),0)</f>
        <v>0</v>
      </c>
      <c r="F167" s="14">
        <f t="shared" si="3"/>
        <v>0</v>
      </c>
      <c r="J167" s="34"/>
      <c r="K167" s="34"/>
    </row>
    <row r="168" spans="1:11" x14ac:dyDescent="0.25">
      <c r="A168" s="10">
        <v>30.72</v>
      </c>
      <c r="B168" s="10"/>
      <c r="C168" s="36"/>
      <c r="D168" s="5"/>
      <c r="E168" s="4">
        <f>IF(D168&lt;&gt;0,('Modelo Atmosférico'!$B$9/'Modelo Atmosférico'!$B$10)*((POWER(D168/'Modelo Atmosférico'!$B$14,(-'Modelo Atmosférico'!$B$11*'Modelo Atmosférico'!$B$10)/('Modelo Atmosférico'!$B$12*'Modelo Atmosférico'!$B$13)))-1),0)</f>
        <v>0</v>
      </c>
      <c r="F168" s="14">
        <f t="shared" si="3"/>
        <v>0</v>
      </c>
      <c r="J168" s="34"/>
      <c r="K168" s="34"/>
    </row>
    <row r="169" spans="1:11" x14ac:dyDescent="0.25">
      <c r="A169" s="10">
        <v>30.911999999999999</v>
      </c>
      <c r="B169" s="10"/>
      <c r="C169" s="36"/>
      <c r="D169" s="5"/>
      <c r="E169" s="4">
        <f>IF(D169&lt;&gt;0,('Modelo Atmosférico'!$B$9/'Modelo Atmosférico'!$B$10)*((POWER(D169/'Modelo Atmosférico'!$B$14,(-'Modelo Atmosférico'!$B$11*'Modelo Atmosférico'!$B$10)/('Modelo Atmosférico'!$B$12*'Modelo Atmosférico'!$B$13)))-1),0)</f>
        <v>0</v>
      </c>
      <c r="F169" s="14">
        <f t="shared" si="3"/>
        <v>0</v>
      </c>
      <c r="J169" s="34"/>
      <c r="K169" s="34"/>
    </row>
    <row r="170" spans="1:11" x14ac:dyDescent="0.25">
      <c r="A170" s="10">
        <v>31.103999999999999</v>
      </c>
      <c r="B170" s="10"/>
      <c r="C170" s="36"/>
      <c r="D170" s="5"/>
      <c r="E170" s="4">
        <f>IF(D170&lt;&gt;0,('Modelo Atmosférico'!$B$9/'Modelo Atmosférico'!$B$10)*((POWER(D170/'Modelo Atmosférico'!$B$14,(-'Modelo Atmosférico'!$B$11*'Modelo Atmosférico'!$B$10)/('Modelo Atmosférico'!$B$12*'Modelo Atmosférico'!$B$13)))-1),0)</f>
        <v>0</v>
      </c>
      <c r="F170" s="14">
        <f t="shared" si="3"/>
        <v>0</v>
      </c>
      <c r="J170" s="34"/>
      <c r="K170" s="34"/>
    </row>
    <row r="171" spans="1:11" x14ac:dyDescent="0.25">
      <c r="A171" s="10">
        <v>31.295999999999999</v>
      </c>
      <c r="B171" s="10"/>
      <c r="C171" s="36"/>
      <c r="D171" s="5"/>
      <c r="E171" s="4">
        <f>IF(D171&lt;&gt;0,('Modelo Atmosférico'!$B$9/'Modelo Atmosférico'!$B$10)*((POWER(D171/'Modelo Atmosférico'!$B$14,(-'Modelo Atmosférico'!$B$11*'Modelo Atmosférico'!$B$10)/('Modelo Atmosférico'!$B$12*'Modelo Atmosférico'!$B$13)))-1),0)</f>
        <v>0</v>
      </c>
      <c r="F171" s="14">
        <f t="shared" si="3"/>
        <v>0</v>
      </c>
      <c r="J171" s="34"/>
      <c r="K171" s="34"/>
    </row>
    <row r="172" spans="1:11" x14ac:dyDescent="0.25">
      <c r="A172" s="10">
        <v>31.488</v>
      </c>
      <c r="B172" s="10"/>
      <c r="C172" s="36"/>
      <c r="D172" s="5"/>
      <c r="E172" s="4">
        <f>IF(D172&lt;&gt;0,('Modelo Atmosférico'!$B$9/'Modelo Atmosférico'!$B$10)*((POWER(D172/'Modelo Atmosférico'!$B$14,(-'Modelo Atmosférico'!$B$11*'Modelo Atmosférico'!$B$10)/('Modelo Atmosférico'!$B$12*'Modelo Atmosférico'!$B$13)))-1),0)</f>
        <v>0</v>
      </c>
      <c r="F172" s="14">
        <f t="shared" si="3"/>
        <v>0</v>
      </c>
      <c r="J172" s="34"/>
      <c r="K172" s="34"/>
    </row>
    <row r="173" spans="1:11" x14ac:dyDescent="0.25">
      <c r="A173" s="10">
        <v>31.68</v>
      </c>
      <c r="B173" s="10"/>
      <c r="C173" s="36"/>
      <c r="D173" s="5"/>
      <c r="E173" s="4">
        <f>IF(D173&lt;&gt;0,('Modelo Atmosférico'!$B$9/'Modelo Atmosférico'!$B$10)*((POWER(D173/'Modelo Atmosférico'!$B$14,(-'Modelo Atmosférico'!$B$11*'Modelo Atmosférico'!$B$10)/('Modelo Atmosférico'!$B$12*'Modelo Atmosférico'!$B$13)))-1),0)</f>
        <v>0</v>
      </c>
      <c r="F173" s="14">
        <f t="shared" si="3"/>
        <v>0</v>
      </c>
      <c r="J173" s="34"/>
      <c r="K173" s="34"/>
    </row>
    <row r="174" spans="1:11" x14ac:dyDescent="0.25">
      <c r="A174" s="10">
        <v>31.872</v>
      </c>
      <c r="B174" s="10"/>
      <c r="C174" s="36"/>
      <c r="D174" s="5"/>
      <c r="E174" s="4">
        <f>IF(D174&lt;&gt;0,('Modelo Atmosférico'!$B$9/'Modelo Atmosférico'!$B$10)*((POWER(D174/'Modelo Atmosférico'!$B$14,(-'Modelo Atmosférico'!$B$11*'Modelo Atmosférico'!$B$10)/('Modelo Atmosférico'!$B$12*'Modelo Atmosférico'!$B$13)))-1),0)</f>
        <v>0</v>
      </c>
      <c r="F174" s="14">
        <f t="shared" si="3"/>
        <v>0</v>
      </c>
      <c r="J174" s="34"/>
      <c r="K174" s="34"/>
    </row>
    <row r="175" spans="1:11" x14ac:dyDescent="0.25">
      <c r="A175" s="10">
        <v>32.064</v>
      </c>
      <c r="B175" s="10"/>
      <c r="C175" s="36"/>
      <c r="D175" s="5"/>
      <c r="E175" s="4">
        <f>IF(D175&lt;&gt;0,('Modelo Atmosférico'!$B$9/'Modelo Atmosférico'!$B$10)*((POWER(D175/'Modelo Atmosférico'!$B$14,(-'Modelo Atmosférico'!$B$11*'Modelo Atmosférico'!$B$10)/('Modelo Atmosférico'!$B$12*'Modelo Atmosférico'!$B$13)))-1),0)</f>
        <v>0</v>
      </c>
      <c r="F175" s="14">
        <f t="shared" si="3"/>
        <v>0</v>
      </c>
      <c r="J175" s="34"/>
      <c r="K175" s="34"/>
    </row>
    <row r="176" spans="1:11" x14ac:dyDescent="0.25">
      <c r="A176" s="10">
        <v>32.256</v>
      </c>
      <c r="B176" s="10"/>
      <c r="C176" s="36"/>
      <c r="D176" s="5"/>
      <c r="E176" s="4">
        <f>IF(D176&lt;&gt;0,('Modelo Atmosférico'!$B$9/'Modelo Atmosférico'!$B$10)*((POWER(D176/'Modelo Atmosférico'!$B$14,(-'Modelo Atmosférico'!$B$11*'Modelo Atmosférico'!$B$10)/('Modelo Atmosférico'!$B$12*'Modelo Atmosférico'!$B$13)))-1),0)</f>
        <v>0</v>
      </c>
      <c r="F176" s="14">
        <f t="shared" si="3"/>
        <v>0</v>
      </c>
      <c r="J176" s="34"/>
      <c r="K176" s="34"/>
    </row>
    <row r="177" spans="1:11" x14ac:dyDescent="0.25">
      <c r="A177" s="10">
        <v>32.448</v>
      </c>
      <c r="B177" s="10"/>
      <c r="C177" s="36"/>
      <c r="D177" s="5"/>
      <c r="E177" s="4">
        <f>IF(D177&lt;&gt;0,('Modelo Atmosférico'!$B$9/'Modelo Atmosférico'!$B$10)*((POWER(D177/'Modelo Atmosférico'!$B$14,(-'Modelo Atmosférico'!$B$11*'Modelo Atmosférico'!$B$10)/('Modelo Atmosférico'!$B$12*'Modelo Atmosférico'!$B$13)))-1),0)</f>
        <v>0</v>
      </c>
      <c r="F177" s="14">
        <f t="shared" si="3"/>
        <v>0</v>
      </c>
      <c r="J177" s="34"/>
      <c r="K177" s="34"/>
    </row>
    <row r="178" spans="1:11" x14ac:dyDescent="0.25">
      <c r="A178" s="10">
        <v>32.64</v>
      </c>
      <c r="B178" s="10"/>
      <c r="C178" s="36"/>
      <c r="D178" s="5"/>
      <c r="E178" s="4">
        <f>IF(D178&lt;&gt;0,('Modelo Atmosférico'!$B$9/'Modelo Atmosférico'!$B$10)*((POWER(D178/'Modelo Atmosférico'!$B$14,(-'Modelo Atmosférico'!$B$11*'Modelo Atmosférico'!$B$10)/('Modelo Atmosférico'!$B$12*'Modelo Atmosférico'!$B$13)))-1),0)</f>
        <v>0</v>
      </c>
      <c r="F178" s="14">
        <f t="shared" si="3"/>
        <v>0</v>
      </c>
      <c r="J178" s="34"/>
      <c r="K178" s="34"/>
    </row>
    <row r="179" spans="1:11" x14ac:dyDescent="0.25">
      <c r="A179" s="10">
        <v>32.832000000000001</v>
      </c>
      <c r="B179" s="10"/>
      <c r="C179" s="36"/>
      <c r="D179" s="5"/>
      <c r="E179" s="4">
        <f>IF(D179&lt;&gt;0,('Modelo Atmosférico'!$B$9/'Modelo Atmosférico'!$B$10)*((POWER(D179/'Modelo Atmosférico'!$B$14,(-'Modelo Atmosférico'!$B$11*'Modelo Atmosférico'!$B$10)/('Modelo Atmosférico'!$B$12*'Modelo Atmosférico'!$B$13)))-1),0)</f>
        <v>0</v>
      </c>
      <c r="F179" s="14">
        <f t="shared" si="3"/>
        <v>0</v>
      </c>
      <c r="J179" s="34"/>
      <c r="K179" s="34"/>
    </row>
    <row r="180" spans="1:11" x14ac:dyDescent="0.25">
      <c r="A180" s="10">
        <v>33.024000000000001</v>
      </c>
      <c r="B180" s="10"/>
      <c r="C180" s="36"/>
      <c r="D180" s="5"/>
      <c r="E180" s="4">
        <f>IF(D180&lt;&gt;0,('Modelo Atmosférico'!$B$9/'Modelo Atmosférico'!$B$10)*((POWER(D180/'Modelo Atmosférico'!$B$14,(-'Modelo Atmosférico'!$B$11*'Modelo Atmosférico'!$B$10)/('Modelo Atmosférico'!$B$12*'Modelo Atmosférico'!$B$13)))-1),0)</f>
        <v>0</v>
      </c>
      <c r="F180" s="14">
        <f t="shared" si="3"/>
        <v>0</v>
      </c>
      <c r="J180" s="34"/>
      <c r="K180" s="34"/>
    </row>
    <row r="181" spans="1:11" x14ac:dyDescent="0.25">
      <c r="A181" s="10">
        <v>33.216000000000001</v>
      </c>
      <c r="B181" s="10"/>
      <c r="C181" s="36"/>
      <c r="D181" s="5"/>
      <c r="E181" s="4">
        <f>IF(D181&lt;&gt;0,('Modelo Atmosférico'!$B$9/'Modelo Atmosférico'!$B$10)*((POWER(D181/'Modelo Atmosférico'!$B$14,(-'Modelo Atmosférico'!$B$11*'Modelo Atmosférico'!$B$10)/('Modelo Atmosférico'!$B$12*'Modelo Atmosférico'!$B$13)))-1),0)</f>
        <v>0</v>
      </c>
      <c r="F181" s="14">
        <f t="shared" si="3"/>
        <v>0</v>
      </c>
      <c r="J181" s="34"/>
      <c r="K181" s="34"/>
    </row>
    <row r="182" spans="1:11" x14ac:dyDescent="0.25">
      <c r="A182" s="10">
        <v>33.408000000000001</v>
      </c>
      <c r="B182" s="10"/>
      <c r="C182" s="36"/>
      <c r="D182" s="5"/>
      <c r="E182" s="4">
        <f>IF(D182&lt;&gt;0,('Modelo Atmosférico'!$B$9/'Modelo Atmosférico'!$B$10)*((POWER(D182/'Modelo Atmosférico'!$B$14,(-'Modelo Atmosférico'!$B$11*'Modelo Atmosférico'!$B$10)/('Modelo Atmosférico'!$B$12*'Modelo Atmosférico'!$B$13)))-1),0)</f>
        <v>0</v>
      </c>
      <c r="F182" s="14">
        <f t="shared" si="3"/>
        <v>0</v>
      </c>
      <c r="J182" s="34"/>
      <c r="K182" s="34"/>
    </row>
    <row r="183" spans="1:11" x14ac:dyDescent="0.25">
      <c r="A183" s="10">
        <v>33.6</v>
      </c>
      <c r="B183" s="10"/>
      <c r="C183" s="36"/>
      <c r="D183" s="5"/>
      <c r="E183" s="4">
        <f>IF(D183&lt;&gt;0,('Modelo Atmosférico'!$B$9/'Modelo Atmosférico'!$B$10)*((POWER(D183/'Modelo Atmosférico'!$B$14,(-'Modelo Atmosférico'!$B$11*'Modelo Atmosférico'!$B$10)/('Modelo Atmosférico'!$B$12*'Modelo Atmosférico'!$B$13)))-1),0)</f>
        <v>0</v>
      </c>
      <c r="F183" s="14">
        <f t="shared" si="3"/>
        <v>0</v>
      </c>
      <c r="J183" s="34"/>
      <c r="K183" s="34"/>
    </row>
    <row r="184" spans="1:11" x14ac:dyDescent="0.25">
      <c r="A184" s="10">
        <v>33.792000000000002</v>
      </c>
      <c r="B184" s="10"/>
      <c r="C184" s="36"/>
      <c r="D184" s="5"/>
      <c r="E184" s="4">
        <f>IF(D184&lt;&gt;0,('Modelo Atmosférico'!$B$9/'Modelo Atmosférico'!$B$10)*((POWER(D184/'Modelo Atmosférico'!$B$14,(-'Modelo Atmosférico'!$B$11*'Modelo Atmosférico'!$B$10)/('Modelo Atmosférico'!$B$12*'Modelo Atmosférico'!$B$13)))-1),0)</f>
        <v>0</v>
      </c>
      <c r="F184" s="14">
        <f t="shared" si="3"/>
        <v>0</v>
      </c>
      <c r="J184" s="34"/>
      <c r="K184" s="34"/>
    </row>
    <row r="185" spans="1:11" x14ac:dyDescent="0.25">
      <c r="A185" s="10">
        <v>33.984000000000002</v>
      </c>
      <c r="B185" s="10"/>
      <c r="C185" s="36"/>
      <c r="D185" s="5"/>
      <c r="E185" s="4">
        <f>IF(D185&lt;&gt;0,('Modelo Atmosférico'!$B$9/'Modelo Atmosférico'!$B$10)*((POWER(D185/'Modelo Atmosférico'!$B$14,(-'Modelo Atmosférico'!$B$11*'Modelo Atmosférico'!$B$10)/('Modelo Atmosférico'!$B$12*'Modelo Atmosférico'!$B$13)))-1),0)</f>
        <v>0</v>
      </c>
      <c r="F185" s="14">
        <f t="shared" si="3"/>
        <v>0</v>
      </c>
      <c r="J185" s="34"/>
      <c r="K185" s="34"/>
    </row>
    <row r="186" spans="1:11" x14ac:dyDescent="0.25">
      <c r="A186" s="10">
        <v>34.176000000000002</v>
      </c>
      <c r="B186" s="10"/>
      <c r="C186" s="36"/>
      <c r="D186" s="5"/>
      <c r="E186" s="4">
        <f>IF(D186&lt;&gt;0,('Modelo Atmosférico'!$B$9/'Modelo Atmosférico'!$B$10)*((POWER(D186/'Modelo Atmosférico'!$B$14,(-'Modelo Atmosférico'!$B$11*'Modelo Atmosférico'!$B$10)/('Modelo Atmosférico'!$B$12*'Modelo Atmosférico'!$B$13)))-1),0)</f>
        <v>0</v>
      </c>
      <c r="F186" s="14">
        <f t="shared" si="3"/>
        <v>0</v>
      </c>
      <c r="J186" s="34"/>
      <c r="K186" s="34"/>
    </row>
    <row r="187" spans="1:11" x14ac:dyDescent="0.25">
      <c r="A187" s="10">
        <v>34.368000000000002</v>
      </c>
      <c r="B187" s="10"/>
      <c r="C187" s="36"/>
      <c r="D187" s="5"/>
      <c r="E187" s="4">
        <f>IF(D187&lt;&gt;0,('Modelo Atmosférico'!$B$9/'Modelo Atmosférico'!$B$10)*((POWER(D187/'Modelo Atmosférico'!$B$14,(-'Modelo Atmosférico'!$B$11*'Modelo Atmosférico'!$B$10)/('Modelo Atmosférico'!$B$12*'Modelo Atmosférico'!$B$13)))-1),0)</f>
        <v>0</v>
      </c>
      <c r="F187" s="14">
        <f t="shared" si="3"/>
        <v>0</v>
      </c>
      <c r="J187" s="34"/>
      <c r="K187" s="34"/>
    </row>
    <row r="188" spans="1:11" x14ac:dyDescent="0.25">
      <c r="A188" s="10">
        <v>34.56</v>
      </c>
      <c r="B188" s="10"/>
      <c r="C188" s="36"/>
      <c r="D188" s="5"/>
      <c r="E188" s="4">
        <f>IF(D188&lt;&gt;0,('Modelo Atmosférico'!$B$9/'Modelo Atmosférico'!$B$10)*((POWER(D188/'Modelo Atmosférico'!$B$14,(-'Modelo Atmosférico'!$B$11*'Modelo Atmosférico'!$B$10)/('Modelo Atmosférico'!$B$12*'Modelo Atmosférico'!$B$13)))-1),0)</f>
        <v>0</v>
      </c>
      <c r="F188" s="14">
        <f t="shared" si="3"/>
        <v>0</v>
      </c>
      <c r="J188" s="34"/>
      <c r="K188" s="34"/>
    </row>
    <row r="189" spans="1:11" x14ac:dyDescent="0.25">
      <c r="A189" s="10">
        <v>34.752000000000002</v>
      </c>
      <c r="B189" s="10"/>
      <c r="C189" s="36"/>
      <c r="D189" s="5"/>
      <c r="E189" s="4">
        <f>IF(D189&lt;&gt;0,('Modelo Atmosférico'!$B$9/'Modelo Atmosférico'!$B$10)*((POWER(D189/'Modelo Atmosférico'!$B$14,(-'Modelo Atmosférico'!$B$11*'Modelo Atmosférico'!$B$10)/('Modelo Atmosférico'!$B$12*'Modelo Atmosférico'!$B$13)))-1),0)</f>
        <v>0</v>
      </c>
      <c r="F189" s="14">
        <f t="shared" si="3"/>
        <v>0</v>
      </c>
      <c r="J189" s="34"/>
      <c r="K189" s="34"/>
    </row>
    <row r="190" spans="1:11" x14ac:dyDescent="0.25">
      <c r="A190" s="10">
        <v>34.944000000000003</v>
      </c>
      <c r="B190" s="10"/>
      <c r="C190" s="36"/>
      <c r="D190" s="5"/>
      <c r="E190" s="4">
        <f>IF(D190&lt;&gt;0,('Modelo Atmosférico'!$B$9/'Modelo Atmosférico'!$B$10)*((POWER(D190/'Modelo Atmosférico'!$B$14,(-'Modelo Atmosférico'!$B$11*'Modelo Atmosférico'!$B$10)/('Modelo Atmosférico'!$B$12*'Modelo Atmosférico'!$B$13)))-1),0)</f>
        <v>0</v>
      </c>
      <c r="F190" s="14">
        <f t="shared" si="3"/>
        <v>0</v>
      </c>
      <c r="J190" s="34"/>
      <c r="K190" s="34"/>
    </row>
    <row r="191" spans="1:11" x14ac:dyDescent="0.25">
      <c r="A191" s="10">
        <v>35.136000000000003</v>
      </c>
      <c r="B191" s="10"/>
      <c r="C191" s="36"/>
      <c r="D191" s="5"/>
      <c r="E191" s="4">
        <f>IF(D191&lt;&gt;0,('Modelo Atmosférico'!$B$9/'Modelo Atmosférico'!$B$10)*((POWER(D191/'Modelo Atmosférico'!$B$14,(-'Modelo Atmosférico'!$B$11*'Modelo Atmosférico'!$B$10)/('Modelo Atmosférico'!$B$12*'Modelo Atmosférico'!$B$13)))-1),0)</f>
        <v>0</v>
      </c>
      <c r="F191" s="14">
        <f t="shared" si="3"/>
        <v>0</v>
      </c>
      <c r="J191" s="34"/>
      <c r="K191" s="34"/>
    </row>
    <row r="192" spans="1:11" x14ac:dyDescent="0.25">
      <c r="A192" s="10">
        <v>35.328000000000003</v>
      </c>
      <c r="B192" s="10"/>
      <c r="C192" s="36"/>
      <c r="D192" s="5"/>
      <c r="E192" s="4">
        <f>IF(D192&lt;&gt;0,('Modelo Atmosférico'!$B$9/'Modelo Atmosférico'!$B$10)*((POWER(D192/'Modelo Atmosférico'!$B$14,(-'Modelo Atmosférico'!$B$11*'Modelo Atmosférico'!$B$10)/('Modelo Atmosférico'!$B$12*'Modelo Atmosférico'!$B$13)))-1),0)</f>
        <v>0</v>
      </c>
      <c r="F192" s="14">
        <f t="shared" si="3"/>
        <v>0</v>
      </c>
      <c r="J192" s="34"/>
      <c r="K192" s="34"/>
    </row>
    <row r="193" spans="1:11" x14ac:dyDescent="0.25">
      <c r="A193" s="10">
        <v>35.520000000000003</v>
      </c>
      <c r="B193" s="10"/>
      <c r="C193" s="36"/>
      <c r="D193" s="5"/>
      <c r="E193" s="4">
        <f>IF(D193&lt;&gt;0,('Modelo Atmosférico'!$B$9/'Modelo Atmosférico'!$B$10)*((POWER(D193/'Modelo Atmosférico'!$B$14,(-'Modelo Atmosférico'!$B$11*'Modelo Atmosférico'!$B$10)/('Modelo Atmosférico'!$B$12*'Modelo Atmosférico'!$B$13)))-1),0)</f>
        <v>0</v>
      </c>
      <c r="F193" s="14">
        <f t="shared" si="3"/>
        <v>0</v>
      </c>
      <c r="J193" s="34"/>
      <c r="K193" s="34"/>
    </row>
    <row r="194" spans="1:11" x14ac:dyDescent="0.25">
      <c r="A194" s="10">
        <v>35.712000000000003</v>
      </c>
      <c r="B194" s="10"/>
      <c r="C194" s="36"/>
      <c r="D194" s="5"/>
      <c r="E194" s="4">
        <f>IF(D194&lt;&gt;0,('Modelo Atmosférico'!$B$9/'Modelo Atmosférico'!$B$10)*((POWER(D194/'Modelo Atmosférico'!$B$14,(-'Modelo Atmosférico'!$B$11*'Modelo Atmosférico'!$B$10)/('Modelo Atmosférico'!$B$12*'Modelo Atmosférico'!$B$13)))-1),0)</f>
        <v>0</v>
      </c>
      <c r="F194" s="14">
        <f t="shared" si="3"/>
        <v>0</v>
      </c>
      <c r="J194" s="34"/>
      <c r="K194" s="34"/>
    </row>
    <row r="195" spans="1:11" x14ac:dyDescent="0.25">
      <c r="A195" s="10">
        <v>35.904000000000003</v>
      </c>
      <c r="B195" s="10"/>
      <c r="C195" s="36"/>
      <c r="D195" s="5"/>
      <c r="E195" s="4">
        <f>IF(D195&lt;&gt;0,('Modelo Atmosférico'!$B$9/'Modelo Atmosférico'!$B$10)*((POWER(D195/'Modelo Atmosférico'!$B$14,(-'Modelo Atmosférico'!$B$11*'Modelo Atmosférico'!$B$10)/('Modelo Atmosférico'!$B$12*'Modelo Atmosférico'!$B$13)))-1),0)</f>
        <v>0</v>
      </c>
      <c r="F195" s="14">
        <f t="shared" si="3"/>
        <v>0</v>
      </c>
      <c r="J195" s="34"/>
      <c r="K195" s="34"/>
    </row>
    <row r="196" spans="1:11" x14ac:dyDescent="0.25">
      <c r="A196" s="10">
        <v>36.095999999999997</v>
      </c>
      <c r="B196" s="10"/>
      <c r="C196" s="36"/>
      <c r="D196" s="5"/>
      <c r="E196" s="4">
        <f>IF(D196&lt;&gt;0,('Modelo Atmosférico'!$B$9/'Modelo Atmosférico'!$B$10)*((POWER(D196/'Modelo Atmosférico'!$B$14,(-'Modelo Atmosférico'!$B$11*'Modelo Atmosférico'!$B$10)/('Modelo Atmosférico'!$B$12*'Modelo Atmosférico'!$B$13)))-1),0)</f>
        <v>0</v>
      </c>
      <c r="F196" s="14">
        <f t="shared" si="3"/>
        <v>0</v>
      </c>
      <c r="J196" s="34"/>
      <c r="K196" s="34"/>
    </row>
    <row r="197" spans="1:11" x14ac:dyDescent="0.25">
      <c r="A197" s="10">
        <v>36.287999999999997</v>
      </c>
      <c r="B197" s="10"/>
      <c r="C197" s="36"/>
      <c r="D197" s="5"/>
      <c r="E197" s="4">
        <f>IF(D197&lt;&gt;0,('Modelo Atmosférico'!$B$9/'Modelo Atmosférico'!$B$10)*((POWER(D197/'Modelo Atmosférico'!$B$14,(-'Modelo Atmosférico'!$B$11*'Modelo Atmosférico'!$B$10)/('Modelo Atmosférico'!$B$12*'Modelo Atmosférico'!$B$13)))-1),0)</f>
        <v>0</v>
      </c>
      <c r="F197" s="14">
        <f t="shared" si="3"/>
        <v>0</v>
      </c>
      <c r="J197" s="34"/>
      <c r="K197" s="34"/>
    </row>
    <row r="198" spans="1:11" x14ac:dyDescent="0.25">
      <c r="A198" s="10">
        <v>36.479999999999997</v>
      </c>
      <c r="B198" s="10"/>
      <c r="C198" s="36"/>
      <c r="D198" s="5"/>
      <c r="E198" s="4">
        <f>IF(D198&lt;&gt;0,('Modelo Atmosférico'!$B$9/'Modelo Atmosférico'!$B$10)*((POWER(D198/'Modelo Atmosférico'!$B$14,(-'Modelo Atmosférico'!$B$11*'Modelo Atmosférico'!$B$10)/('Modelo Atmosférico'!$B$12*'Modelo Atmosférico'!$B$13)))-1),0)</f>
        <v>0</v>
      </c>
      <c r="F198" s="14">
        <f t="shared" si="3"/>
        <v>0</v>
      </c>
      <c r="J198" s="34"/>
      <c r="K198" s="34"/>
    </row>
    <row r="199" spans="1:11" x14ac:dyDescent="0.25">
      <c r="A199" s="10">
        <v>36.671999999999997</v>
      </c>
      <c r="B199" s="10"/>
      <c r="C199" s="36"/>
      <c r="D199" s="5"/>
      <c r="E199" s="4">
        <f>IF(D199&lt;&gt;0,('Modelo Atmosférico'!$B$9/'Modelo Atmosférico'!$B$10)*((POWER(D199/'Modelo Atmosférico'!$B$14,(-'Modelo Atmosférico'!$B$11*'Modelo Atmosférico'!$B$10)/('Modelo Atmosférico'!$B$12*'Modelo Atmosférico'!$B$13)))-1),0)</f>
        <v>0</v>
      </c>
      <c r="F199" s="14">
        <f t="shared" si="3"/>
        <v>0</v>
      </c>
      <c r="J199" s="34"/>
      <c r="K199" s="34"/>
    </row>
    <row r="200" spans="1:11" x14ac:dyDescent="0.25">
      <c r="A200" s="10">
        <v>36.863999999999997</v>
      </c>
      <c r="B200" s="10"/>
      <c r="C200" s="36"/>
      <c r="D200" s="5"/>
      <c r="E200" s="4">
        <f>IF(D200&lt;&gt;0,('Modelo Atmosférico'!$B$9/'Modelo Atmosférico'!$B$10)*((POWER(D200/'Modelo Atmosférico'!$B$14,(-'Modelo Atmosférico'!$B$11*'Modelo Atmosférico'!$B$10)/('Modelo Atmosférico'!$B$12*'Modelo Atmosférico'!$B$13)))-1),0)</f>
        <v>0</v>
      </c>
      <c r="F200" s="14">
        <f t="shared" si="3"/>
        <v>0</v>
      </c>
      <c r="J200" s="34"/>
      <c r="K200" s="34"/>
    </row>
    <row r="201" spans="1:11" x14ac:dyDescent="0.25">
      <c r="A201" s="10">
        <v>37.055999999999997</v>
      </c>
      <c r="B201" s="10"/>
      <c r="C201" s="36"/>
      <c r="D201" s="5"/>
      <c r="E201" s="4">
        <f>IF(D201&lt;&gt;0,('Modelo Atmosférico'!$B$9/'Modelo Atmosférico'!$B$10)*((POWER(D201/'Modelo Atmosférico'!$B$14,(-'Modelo Atmosférico'!$B$11*'Modelo Atmosférico'!$B$10)/('Modelo Atmosférico'!$B$12*'Modelo Atmosférico'!$B$13)))-1),0)</f>
        <v>0</v>
      </c>
      <c r="F201" s="14">
        <f t="shared" si="3"/>
        <v>0</v>
      </c>
      <c r="J201" s="34"/>
      <c r="K201" s="34"/>
    </row>
    <row r="202" spans="1:11" x14ac:dyDescent="0.25">
      <c r="A202" s="10">
        <v>37.247999999999998</v>
      </c>
      <c r="B202" s="10"/>
      <c r="C202" s="36"/>
      <c r="D202" s="5"/>
      <c r="E202" s="4">
        <f>IF(D202&lt;&gt;0,('Modelo Atmosférico'!$B$9/'Modelo Atmosférico'!$B$10)*((POWER(D202/'Modelo Atmosférico'!$B$14,(-'Modelo Atmosférico'!$B$11*'Modelo Atmosférico'!$B$10)/('Modelo Atmosférico'!$B$12*'Modelo Atmosférico'!$B$13)))-1),0)</f>
        <v>0</v>
      </c>
      <c r="F202" s="14">
        <f t="shared" si="3"/>
        <v>0</v>
      </c>
      <c r="J202" s="34"/>
      <c r="K202" s="34"/>
    </row>
    <row r="203" spans="1:11" x14ac:dyDescent="0.25">
      <c r="A203" s="10">
        <v>37.44</v>
      </c>
      <c r="B203" s="10"/>
      <c r="C203" s="36"/>
      <c r="D203" s="5"/>
      <c r="E203" s="4">
        <f>IF(D203&lt;&gt;0,('Modelo Atmosférico'!$B$9/'Modelo Atmosférico'!$B$10)*((POWER(D203/'Modelo Atmosférico'!$B$14,(-'Modelo Atmosférico'!$B$11*'Modelo Atmosférico'!$B$10)/('Modelo Atmosférico'!$B$12*'Modelo Atmosférico'!$B$13)))-1),0)</f>
        <v>0</v>
      </c>
      <c r="F203" s="14">
        <f t="shared" si="3"/>
        <v>0</v>
      </c>
      <c r="J203" s="34"/>
      <c r="K203" s="34"/>
    </row>
    <row r="204" spans="1:11" x14ac:dyDescent="0.25">
      <c r="A204" s="10">
        <v>37.631999999999998</v>
      </c>
      <c r="B204" s="10"/>
      <c r="C204" s="36"/>
      <c r="D204" s="5"/>
      <c r="E204" s="4">
        <f>IF(D204&lt;&gt;0,('Modelo Atmosférico'!$B$9/'Modelo Atmosférico'!$B$10)*((POWER(D204/'Modelo Atmosférico'!$B$14,(-'Modelo Atmosférico'!$B$11*'Modelo Atmosférico'!$B$10)/('Modelo Atmosférico'!$B$12*'Modelo Atmosférico'!$B$13)))-1),0)</f>
        <v>0</v>
      </c>
      <c r="F204" s="14">
        <f t="shared" si="3"/>
        <v>0</v>
      </c>
      <c r="J204" s="34"/>
      <c r="K204" s="34"/>
    </row>
    <row r="205" spans="1:11" x14ac:dyDescent="0.25">
      <c r="A205" s="10">
        <v>37.823999999999998</v>
      </c>
      <c r="B205" s="10"/>
      <c r="C205" s="36"/>
      <c r="D205" s="5"/>
      <c r="E205" s="4">
        <f>IF(D205&lt;&gt;0,('Modelo Atmosférico'!$B$9/'Modelo Atmosférico'!$B$10)*((POWER(D205/'Modelo Atmosférico'!$B$14,(-'Modelo Atmosférico'!$B$11*'Modelo Atmosférico'!$B$10)/('Modelo Atmosférico'!$B$12*'Modelo Atmosférico'!$B$13)))-1),0)</f>
        <v>0</v>
      </c>
      <c r="F205" s="14">
        <f t="shared" si="3"/>
        <v>0</v>
      </c>
      <c r="J205" s="34"/>
      <c r="K205" s="34"/>
    </row>
    <row r="206" spans="1:11" x14ac:dyDescent="0.25">
      <c r="A206" s="10">
        <v>38.015999999999998</v>
      </c>
      <c r="B206" s="10"/>
      <c r="C206" s="36"/>
      <c r="D206" s="5"/>
      <c r="E206" s="4">
        <f>IF(D206&lt;&gt;0,('Modelo Atmosférico'!$B$9/'Modelo Atmosférico'!$B$10)*((POWER(D206/'Modelo Atmosférico'!$B$14,(-'Modelo Atmosférico'!$B$11*'Modelo Atmosférico'!$B$10)/('Modelo Atmosférico'!$B$12*'Modelo Atmosférico'!$B$13)))-1),0)</f>
        <v>0</v>
      </c>
      <c r="F206" s="14">
        <f t="shared" si="3"/>
        <v>0</v>
      </c>
      <c r="J206" s="34"/>
      <c r="K206" s="34"/>
    </row>
    <row r="207" spans="1:11" x14ac:dyDescent="0.25">
      <c r="A207" s="10">
        <v>38.207999999999998</v>
      </c>
      <c r="B207" s="10"/>
      <c r="C207" s="36"/>
      <c r="D207" s="5"/>
      <c r="E207" s="4">
        <f>IF(D207&lt;&gt;0,('Modelo Atmosférico'!$B$9/'Modelo Atmosférico'!$B$10)*((POWER(D207/'Modelo Atmosférico'!$B$14,(-'Modelo Atmosférico'!$B$11*'Modelo Atmosférico'!$B$10)/('Modelo Atmosférico'!$B$12*'Modelo Atmosférico'!$B$13)))-1),0)</f>
        <v>0</v>
      </c>
      <c r="F207" s="14">
        <f t="shared" si="3"/>
        <v>0</v>
      </c>
      <c r="J207" s="34"/>
      <c r="K207" s="34"/>
    </row>
    <row r="208" spans="1:11" x14ac:dyDescent="0.25">
      <c r="A208" s="10">
        <v>38.4</v>
      </c>
      <c r="B208" s="10"/>
      <c r="C208" s="36"/>
      <c r="D208" s="5"/>
      <c r="E208" s="4">
        <f>IF(D208&lt;&gt;0,('Modelo Atmosférico'!$B$9/'Modelo Atmosférico'!$B$10)*((POWER(D208/'Modelo Atmosférico'!$B$14,(-'Modelo Atmosférico'!$B$11*'Modelo Atmosférico'!$B$10)/('Modelo Atmosférico'!$B$12*'Modelo Atmosférico'!$B$13)))-1),0)</f>
        <v>0</v>
      </c>
      <c r="F208" s="14">
        <f t="shared" si="3"/>
        <v>0</v>
      </c>
      <c r="J208" s="34"/>
      <c r="K208" s="34"/>
    </row>
    <row r="209" spans="1:11" x14ac:dyDescent="0.25">
      <c r="A209" s="10">
        <v>38.591999999999999</v>
      </c>
      <c r="B209" s="10"/>
      <c r="C209" s="36"/>
      <c r="D209" s="5"/>
      <c r="E209" s="4">
        <f>IF(D209&lt;&gt;0,('Modelo Atmosférico'!$B$9/'Modelo Atmosférico'!$B$10)*((POWER(D209/'Modelo Atmosférico'!$B$14,(-'Modelo Atmosférico'!$B$11*'Modelo Atmosférico'!$B$10)/('Modelo Atmosférico'!$B$12*'Modelo Atmosférico'!$B$13)))-1),0)</f>
        <v>0</v>
      </c>
      <c r="F209" s="14">
        <f t="shared" si="3"/>
        <v>0</v>
      </c>
      <c r="J209" s="34"/>
      <c r="K209" s="34"/>
    </row>
    <row r="210" spans="1:11" x14ac:dyDescent="0.25">
      <c r="A210" s="10">
        <v>38.783999999999999</v>
      </c>
      <c r="B210" s="10"/>
      <c r="C210" s="36"/>
      <c r="D210" s="5"/>
      <c r="E210" s="4">
        <f>IF(D210&lt;&gt;0,('Modelo Atmosférico'!$B$9/'Modelo Atmosférico'!$B$10)*((POWER(D210/'Modelo Atmosférico'!$B$14,(-'Modelo Atmosférico'!$B$11*'Modelo Atmosférico'!$B$10)/('Modelo Atmosférico'!$B$12*'Modelo Atmosférico'!$B$13)))-1),0)</f>
        <v>0</v>
      </c>
      <c r="F210" s="14">
        <f t="shared" si="3"/>
        <v>0</v>
      </c>
      <c r="J210" s="34"/>
      <c r="K210" s="34"/>
    </row>
    <row r="211" spans="1:11" x14ac:dyDescent="0.25">
      <c r="A211" s="10">
        <v>38.9759999999999</v>
      </c>
      <c r="B211" s="10"/>
      <c r="C211" s="36"/>
      <c r="D211" s="5"/>
      <c r="E211" s="4">
        <f>IF(D211&lt;&gt;0,('Modelo Atmosférico'!$B$9/'Modelo Atmosférico'!$B$10)*((POWER(D211/'Modelo Atmosférico'!$B$14,(-'Modelo Atmosférico'!$B$11*'Modelo Atmosférico'!$B$10)/('Modelo Atmosférico'!$B$12*'Modelo Atmosférico'!$B$13)))-1),0)</f>
        <v>0</v>
      </c>
      <c r="F211" s="14">
        <f t="shared" si="3"/>
        <v>0</v>
      </c>
      <c r="J211" s="34"/>
      <c r="K211" s="34"/>
    </row>
    <row r="212" spans="1:11" x14ac:dyDescent="0.25">
      <c r="A212" s="10">
        <v>39.1679999999999</v>
      </c>
      <c r="B212" s="10"/>
      <c r="C212" s="36"/>
      <c r="D212" s="5"/>
      <c r="E212" s="4">
        <f>IF(D212&lt;&gt;0,('Modelo Atmosférico'!$B$9/'Modelo Atmosférico'!$B$10)*((POWER(D212/'Modelo Atmosférico'!$B$14,(-'Modelo Atmosférico'!$B$11*'Modelo Atmosférico'!$B$10)/('Modelo Atmosférico'!$B$12*'Modelo Atmosférico'!$B$13)))-1),0)</f>
        <v>0</v>
      </c>
      <c r="F212" s="14">
        <f t="shared" si="3"/>
        <v>0</v>
      </c>
      <c r="J212" s="34"/>
      <c r="K212" s="34"/>
    </row>
    <row r="213" spans="1:11" x14ac:dyDescent="0.25">
      <c r="A213" s="10">
        <v>39.3599999999999</v>
      </c>
      <c r="B213" s="10"/>
      <c r="C213" s="36"/>
      <c r="D213" s="5"/>
      <c r="E213" s="4">
        <f>IF(D213&lt;&gt;0,('Modelo Atmosférico'!$B$9/'Modelo Atmosférico'!$B$10)*((POWER(D213/'Modelo Atmosférico'!$B$14,(-'Modelo Atmosférico'!$B$11*'Modelo Atmosférico'!$B$10)/('Modelo Atmosférico'!$B$12*'Modelo Atmosférico'!$B$13)))-1),0)</f>
        <v>0</v>
      </c>
      <c r="F213" s="14">
        <f t="shared" si="3"/>
        <v>0</v>
      </c>
      <c r="J213" s="34"/>
      <c r="K213" s="34"/>
    </row>
    <row r="214" spans="1:11" x14ac:dyDescent="0.25">
      <c r="A214" s="10">
        <v>39.5519999999999</v>
      </c>
      <c r="B214" s="10"/>
      <c r="C214" s="36"/>
      <c r="D214" s="5"/>
      <c r="E214" s="4">
        <f>IF(D214&lt;&gt;0,('Modelo Atmosférico'!$B$9/'Modelo Atmosférico'!$B$10)*((POWER(D214/'Modelo Atmosférico'!$B$14,(-'Modelo Atmosférico'!$B$11*'Modelo Atmosférico'!$B$10)/('Modelo Atmosférico'!$B$12*'Modelo Atmosférico'!$B$13)))-1),0)</f>
        <v>0</v>
      </c>
      <c r="F214" s="14">
        <f t="shared" si="3"/>
        <v>0</v>
      </c>
      <c r="J214" s="34"/>
      <c r="K214" s="34"/>
    </row>
    <row r="215" spans="1:11" x14ac:dyDescent="0.25">
      <c r="A215" s="10">
        <v>39.7439999999999</v>
      </c>
      <c r="B215" s="10"/>
      <c r="C215" s="36"/>
      <c r="D215" s="5"/>
      <c r="E215" s="4">
        <f>IF(D215&lt;&gt;0,('Modelo Atmosférico'!$B$9/'Modelo Atmosférico'!$B$10)*((POWER(D215/'Modelo Atmosférico'!$B$14,(-'Modelo Atmosférico'!$B$11*'Modelo Atmosférico'!$B$10)/('Modelo Atmosférico'!$B$12*'Modelo Atmosférico'!$B$13)))-1),0)</f>
        <v>0</v>
      </c>
      <c r="F215" s="14">
        <f t="shared" si="3"/>
        <v>0</v>
      </c>
      <c r="J215" s="34"/>
      <c r="K215" s="34"/>
    </row>
    <row r="216" spans="1:11" x14ac:dyDescent="0.25">
      <c r="A216" s="10">
        <v>39.9359999999999</v>
      </c>
      <c r="B216" s="10"/>
      <c r="C216" s="36"/>
      <c r="D216" s="5"/>
      <c r="E216" s="4">
        <f>IF(D216&lt;&gt;0,('Modelo Atmosférico'!$B$9/'Modelo Atmosférico'!$B$10)*((POWER(D216/'Modelo Atmosférico'!$B$14,(-'Modelo Atmosférico'!$B$11*'Modelo Atmosférico'!$B$10)/('Modelo Atmosférico'!$B$12*'Modelo Atmosférico'!$B$13)))-1),0)</f>
        <v>0</v>
      </c>
      <c r="F216" s="14">
        <f t="shared" si="3"/>
        <v>0</v>
      </c>
      <c r="J216" s="34"/>
      <c r="K216" s="34"/>
    </row>
    <row r="217" spans="1:11" x14ac:dyDescent="0.25">
      <c r="A217" s="10">
        <v>40.127999999999901</v>
      </c>
      <c r="B217" s="10"/>
      <c r="C217" s="36"/>
      <c r="D217" s="5"/>
      <c r="E217" s="4">
        <f>IF(D217&lt;&gt;0,('Modelo Atmosférico'!$B$9/'Modelo Atmosférico'!$B$10)*((POWER(D217/'Modelo Atmosférico'!$B$14,(-'Modelo Atmosférico'!$B$11*'Modelo Atmosférico'!$B$10)/('Modelo Atmosférico'!$B$12*'Modelo Atmosférico'!$B$13)))-1),0)</f>
        <v>0</v>
      </c>
      <c r="F217" s="14">
        <f t="shared" si="3"/>
        <v>0</v>
      </c>
      <c r="J217" s="34"/>
      <c r="K217" s="34"/>
    </row>
    <row r="218" spans="1:11" x14ac:dyDescent="0.25">
      <c r="A218" s="10">
        <v>40.319999999999901</v>
      </c>
      <c r="B218" s="10"/>
      <c r="C218" s="36"/>
      <c r="D218" s="5"/>
      <c r="E218" s="4">
        <f>IF(D218&lt;&gt;0,('Modelo Atmosférico'!$B$9/'Modelo Atmosférico'!$B$10)*((POWER(D218/'Modelo Atmosférico'!$B$14,(-'Modelo Atmosférico'!$B$11*'Modelo Atmosférico'!$B$10)/('Modelo Atmosférico'!$B$12*'Modelo Atmosférico'!$B$13)))-1),0)</f>
        <v>0</v>
      </c>
      <c r="F218" s="14">
        <f t="shared" si="3"/>
        <v>0</v>
      </c>
      <c r="J218" s="34"/>
      <c r="K218" s="34"/>
    </row>
    <row r="219" spans="1:11" x14ac:dyDescent="0.25">
      <c r="A219" s="10">
        <v>40.511999999999901</v>
      </c>
      <c r="B219" s="10"/>
      <c r="C219" s="36"/>
      <c r="D219" s="5"/>
      <c r="E219" s="4">
        <f>IF(D219&lt;&gt;0,('Modelo Atmosférico'!$B$9/'Modelo Atmosférico'!$B$10)*((POWER(D219/'Modelo Atmosférico'!$B$14,(-'Modelo Atmosférico'!$B$11*'Modelo Atmosférico'!$B$10)/('Modelo Atmosférico'!$B$12*'Modelo Atmosférico'!$B$13)))-1),0)</f>
        <v>0</v>
      </c>
      <c r="F219" s="14">
        <f t="shared" si="3"/>
        <v>0</v>
      </c>
      <c r="J219" s="34"/>
      <c r="K219" s="34"/>
    </row>
    <row r="220" spans="1:11" x14ac:dyDescent="0.25">
      <c r="A220" s="10">
        <v>40.703999999999901</v>
      </c>
      <c r="B220" s="10"/>
      <c r="C220" s="36"/>
      <c r="D220" s="5"/>
      <c r="E220" s="4">
        <f>IF(D220&lt;&gt;0,('Modelo Atmosférico'!$B$9/'Modelo Atmosférico'!$B$10)*((POWER(D220/'Modelo Atmosférico'!$B$14,(-'Modelo Atmosférico'!$B$11*'Modelo Atmosférico'!$B$10)/('Modelo Atmosférico'!$B$12*'Modelo Atmosférico'!$B$13)))-1),0)</f>
        <v>0</v>
      </c>
      <c r="F220" s="14">
        <f t="shared" si="3"/>
        <v>0</v>
      </c>
      <c r="J220" s="34"/>
      <c r="K220" s="34"/>
    </row>
    <row r="221" spans="1:11" x14ac:dyDescent="0.25">
      <c r="A221" s="10">
        <v>40.895999999999901</v>
      </c>
      <c r="B221" s="10"/>
      <c r="C221" s="36"/>
      <c r="D221" s="5"/>
      <c r="E221" s="4">
        <f>IF(D221&lt;&gt;0,('Modelo Atmosférico'!$B$9/'Modelo Atmosférico'!$B$10)*((POWER(D221/'Modelo Atmosférico'!$B$14,(-'Modelo Atmosférico'!$B$11*'Modelo Atmosférico'!$B$10)/('Modelo Atmosférico'!$B$12*'Modelo Atmosférico'!$B$13)))-1),0)</f>
        <v>0</v>
      </c>
      <c r="F221" s="14">
        <f t="shared" si="3"/>
        <v>0</v>
      </c>
      <c r="J221" s="34"/>
      <c r="K221" s="34"/>
    </row>
    <row r="222" spans="1:11" x14ac:dyDescent="0.25">
      <c r="A222" s="10">
        <v>41.087999999999901</v>
      </c>
      <c r="B222" s="10"/>
      <c r="C222" s="36"/>
      <c r="D222" s="5"/>
      <c r="E222" s="4">
        <f>IF(D222&lt;&gt;0,('Modelo Atmosférico'!$B$9/'Modelo Atmosférico'!$B$10)*((POWER(D222/'Modelo Atmosférico'!$B$14,(-'Modelo Atmosférico'!$B$11*'Modelo Atmosférico'!$B$10)/('Modelo Atmosférico'!$B$12*'Modelo Atmosférico'!$B$13)))-1),0)</f>
        <v>0</v>
      </c>
      <c r="F222" s="14">
        <f t="shared" si="3"/>
        <v>0</v>
      </c>
      <c r="J222" s="34"/>
      <c r="K222" s="34"/>
    </row>
    <row r="223" spans="1:11" x14ac:dyDescent="0.25">
      <c r="A223" s="10">
        <v>41.279999999999902</v>
      </c>
      <c r="B223" s="10"/>
      <c r="C223" s="36"/>
      <c r="D223" s="5"/>
      <c r="E223" s="4">
        <f>IF(D223&lt;&gt;0,('Modelo Atmosférico'!$B$9/'Modelo Atmosférico'!$B$10)*((POWER(D223/'Modelo Atmosférico'!$B$14,(-'Modelo Atmosférico'!$B$11*'Modelo Atmosférico'!$B$10)/('Modelo Atmosférico'!$B$12*'Modelo Atmosférico'!$B$13)))-1),0)</f>
        <v>0</v>
      </c>
      <c r="F223" s="14">
        <f t="shared" si="3"/>
        <v>0</v>
      </c>
      <c r="J223" s="34"/>
      <c r="K223" s="34"/>
    </row>
    <row r="224" spans="1:11" x14ac:dyDescent="0.25">
      <c r="A224" s="10">
        <v>41.471999999999902</v>
      </c>
      <c r="B224" s="10"/>
      <c r="C224" s="36"/>
      <c r="D224" s="5"/>
      <c r="E224" s="4">
        <f>IF(D224&lt;&gt;0,('Modelo Atmosférico'!$B$9/'Modelo Atmosférico'!$B$10)*((POWER(D224/'Modelo Atmosférico'!$B$14,(-'Modelo Atmosférico'!$B$11*'Modelo Atmosférico'!$B$10)/('Modelo Atmosférico'!$B$12*'Modelo Atmosférico'!$B$13)))-1),0)</f>
        <v>0</v>
      </c>
      <c r="F224" s="14">
        <f t="shared" si="3"/>
        <v>0</v>
      </c>
      <c r="J224" s="34"/>
      <c r="K224" s="34"/>
    </row>
    <row r="225" spans="1:11" x14ac:dyDescent="0.25">
      <c r="A225" s="10">
        <v>41.663999999999902</v>
      </c>
      <c r="B225" s="10"/>
      <c r="C225" s="36"/>
      <c r="D225" s="5"/>
      <c r="E225" s="4">
        <f>IF(D225&lt;&gt;0,('Modelo Atmosférico'!$B$9/'Modelo Atmosférico'!$B$10)*((POWER(D225/'Modelo Atmosférico'!$B$14,(-'Modelo Atmosférico'!$B$11*'Modelo Atmosférico'!$B$10)/('Modelo Atmosférico'!$B$12*'Modelo Atmosférico'!$B$13)))-1),0)</f>
        <v>0</v>
      </c>
      <c r="F225" s="14">
        <f t="shared" si="3"/>
        <v>0</v>
      </c>
      <c r="J225" s="34"/>
      <c r="K225" s="34"/>
    </row>
    <row r="226" spans="1:11" x14ac:dyDescent="0.25">
      <c r="A226" s="10">
        <v>41.855999999999902</v>
      </c>
      <c r="B226" s="10"/>
      <c r="C226" s="36"/>
      <c r="D226" s="5"/>
      <c r="E226" s="4">
        <f>IF(D226&lt;&gt;0,('Modelo Atmosférico'!$B$9/'Modelo Atmosférico'!$B$10)*((POWER(D226/'Modelo Atmosférico'!$B$14,(-'Modelo Atmosférico'!$B$11*'Modelo Atmosférico'!$B$10)/('Modelo Atmosférico'!$B$12*'Modelo Atmosférico'!$B$13)))-1),0)</f>
        <v>0</v>
      </c>
      <c r="F226" s="14">
        <f t="shared" si="3"/>
        <v>0</v>
      </c>
      <c r="J226" s="34"/>
      <c r="K226" s="34"/>
    </row>
    <row r="227" spans="1:11" x14ac:dyDescent="0.25">
      <c r="A227" s="10">
        <v>42.047999999999902</v>
      </c>
      <c r="B227" s="10"/>
      <c r="C227" s="36"/>
      <c r="D227" s="5"/>
      <c r="E227" s="4">
        <f>IF(D227&lt;&gt;0,('Modelo Atmosférico'!$B$9/'Modelo Atmosférico'!$B$10)*((POWER(D227/'Modelo Atmosférico'!$B$14,(-'Modelo Atmosférico'!$B$11*'Modelo Atmosférico'!$B$10)/('Modelo Atmosférico'!$B$12*'Modelo Atmosférico'!$B$13)))-1),0)</f>
        <v>0</v>
      </c>
      <c r="F227" s="14">
        <f t="shared" ref="F227:F248" si="4">IF(D227&lt;&gt;0,E227-$E$3,0)</f>
        <v>0</v>
      </c>
      <c r="J227" s="34"/>
      <c r="K227" s="34"/>
    </row>
    <row r="228" spans="1:11" x14ac:dyDescent="0.25">
      <c r="A228" s="10">
        <v>42.239999999999903</v>
      </c>
      <c r="B228" s="10"/>
      <c r="C228" s="36"/>
      <c r="D228" s="5"/>
      <c r="E228" s="4">
        <f>IF(D228&lt;&gt;0,('Modelo Atmosférico'!$B$9/'Modelo Atmosférico'!$B$10)*((POWER(D228/'Modelo Atmosférico'!$B$14,(-'Modelo Atmosférico'!$B$11*'Modelo Atmosférico'!$B$10)/('Modelo Atmosférico'!$B$12*'Modelo Atmosférico'!$B$13)))-1),0)</f>
        <v>0</v>
      </c>
      <c r="F228" s="14">
        <f t="shared" si="4"/>
        <v>0</v>
      </c>
      <c r="J228" s="34"/>
      <c r="K228" s="34"/>
    </row>
    <row r="229" spans="1:11" x14ac:dyDescent="0.25">
      <c r="A229" s="10">
        <v>42.431999999999903</v>
      </c>
      <c r="B229" s="10"/>
      <c r="C229" s="36"/>
      <c r="D229" s="5"/>
      <c r="E229" s="4">
        <f>IF(D229&lt;&gt;0,('Modelo Atmosférico'!$B$9/'Modelo Atmosférico'!$B$10)*((POWER(D229/'Modelo Atmosférico'!$B$14,(-'Modelo Atmosférico'!$B$11*'Modelo Atmosférico'!$B$10)/('Modelo Atmosférico'!$B$12*'Modelo Atmosférico'!$B$13)))-1),0)</f>
        <v>0</v>
      </c>
      <c r="F229" s="14">
        <f t="shared" si="4"/>
        <v>0</v>
      </c>
      <c r="J229" s="34"/>
      <c r="K229" s="34"/>
    </row>
    <row r="230" spans="1:11" x14ac:dyDescent="0.25">
      <c r="A230" s="10">
        <v>42.623999999999903</v>
      </c>
      <c r="B230" s="10"/>
      <c r="C230" s="36"/>
      <c r="D230" s="5"/>
      <c r="E230" s="4">
        <f>IF(D230&lt;&gt;0,('Modelo Atmosférico'!$B$9/'Modelo Atmosférico'!$B$10)*((POWER(D230/'Modelo Atmosférico'!$B$14,(-'Modelo Atmosférico'!$B$11*'Modelo Atmosférico'!$B$10)/('Modelo Atmosférico'!$B$12*'Modelo Atmosférico'!$B$13)))-1),0)</f>
        <v>0</v>
      </c>
      <c r="F230" s="14">
        <f t="shared" si="4"/>
        <v>0</v>
      </c>
      <c r="J230" s="34"/>
      <c r="K230" s="34"/>
    </row>
    <row r="231" spans="1:11" x14ac:dyDescent="0.25">
      <c r="A231" s="10">
        <v>42.815999999999903</v>
      </c>
      <c r="B231" s="10"/>
      <c r="C231" s="36"/>
      <c r="D231" s="5"/>
      <c r="E231" s="4">
        <f>IF(D231&lt;&gt;0,('Modelo Atmosférico'!$B$9/'Modelo Atmosférico'!$B$10)*((POWER(D231/'Modelo Atmosférico'!$B$14,(-'Modelo Atmosférico'!$B$11*'Modelo Atmosférico'!$B$10)/('Modelo Atmosférico'!$B$12*'Modelo Atmosférico'!$B$13)))-1),0)</f>
        <v>0</v>
      </c>
      <c r="F231" s="14">
        <f t="shared" si="4"/>
        <v>0</v>
      </c>
      <c r="J231" s="34"/>
      <c r="K231" s="34"/>
    </row>
    <row r="232" spans="1:11" x14ac:dyDescent="0.25">
      <c r="A232" s="10">
        <v>43.007999999999903</v>
      </c>
      <c r="B232" s="10"/>
      <c r="C232" s="36"/>
      <c r="D232" s="5"/>
      <c r="E232" s="4">
        <f>IF(D232&lt;&gt;0,('Modelo Atmosférico'!$B$9/'Modelo Atmosférico'!$B$10)*((POWER(D232/'Modelo Atmosférico'!$B$14,(-'Modelo Atmosférico'!$B$11*'Modelo Atmosférico'!$B$10)/('Modelo Atmosférico'!$B$12*'Modelo Atmosférico'!$B$13)))-1),0)</f>
        <v>0</v>
      </c>
      <c r="F232" s="14">
        <f t="shared" si="4"/>
        <v>0</v>
      </c>
      <c r="J232" s="34"/>
      <c r="K232" s="34"/>
    </row>
    <row r="233" spans="1:11" x14ac:dyDescent="0.25">
      <c r="A233" s="10">
        <v>43.199999999999903</v>
      </c>
      <c r="B233" s="10"/>
      <c r="C233" s="36"/>
      <c r="D233" s="5"/>
      <c r="E233" s="4">
        <f>IF(D233&lt;&gt;0,('Modelo Atmosférico'!$B$9/'Modelo Atmosférico'!$B$10)*((POWER(D233/'Modelo Atmosférico'!$B$14,(-'Modelo Atmosférico'!$B$11*'Modelo Atmosférico'!$B$10)/('Modelo Atmosférico'!$B$12*'Modelo Atmosférico'!$B$13)))-1),0)</f>
        <v>0</v>
      </c>
      <c r="F233" s="14">
        <f t="shared" si="4"/>
        <v>0</v>
      </c>
      <c r="J233" s="34"/>
      <c r="K233" s="34"/>
    </row>
    <row r="234" spans="1:11" x14ac:dyDescent="0.25">
      <c r="A234" s="10">
        <v>43.391999999999904</v>
      </c>
      <c r="B234" s="10"/>
      <c r="C234" s="36"/>
      <c r="D234" s="5"/>
      <c r="E234" s="4">
        <f>IF(D234&lt;&gt;0,('Modelo Atmosférico'!$B$9/'Modelo Atmosférico'!$B$10)*((POWER(D234/'Modelo Atmosférico'!$B$14,(-'Modelo Atmosférico'!$B$11*'Modelo Atmosférico'!$B$10)/('Modelo Atmosférico'!$B$12*'Modelo Atmosférico'!$B$13)))-1),0)</f>
        <v>0</v>
      </c>
      <c r="F234" s="14">
        <f t="shared" si="4"/>
        <v>0</v>
      </c>
      <c r="J234" s="34"/>
      <c r="K234" s="34"/>
    </row>
    <row r="235" spans="1:11" x14ac:dyDescent="0.25">
      <c r="A235" s="10">
        <v>43.583999999999897</v>
      </c>
      <c r="B235" s="10"/>
      <c r="C235" s="36"/>
      <c r="D235" s="5"/>
      <c r="E235" s="4">
        <f>IF(D235&lt;&gt;0,('Modelo Atmosférico'!$B$9/'Modelo Atmosférico'!$B$10)*((POWER(D235/'Modelo Atmosférico'!$B$14,(-'Modelo Atmosférico'!$B$11*'Modelo Atmosférico'!$B$10)/('Modelo Atmosférico'!$B$12*'Modelo Atmosférico'!$B$13)))-1),0)</f>
        <v>0</v>
      </c>
      <c r="F235" s="14">
        <f t="shared" si="4"/>
        <v>0</v>
      </c>
      <c r="J235" s="34"/>
      <c r="K235" s="34"/>
    </row>
    <row r="236" spans="1:11" x14ac:dyDescent="0.25">
      <c r="A236" s="10">
        <v>43.775999999999897</v>
      </c>
      <c r="B236" s="10"/>
      <c r="C236" s="36"/>
      <c r="D236" s="5"/>
      <c r="E236" s="4">
        <f>IF(D236&lt;&gt;0,('Modelo Atmosférico'!$B$9/'Modelo Atmosférico'!$B$10)*((POWER(D236/'Modelo Atmosférico'!$B$14,(-'Modelo Atmosférico'!$B$11*'Modelo Atmosférico'!$B$10)/('Modelo Atmosférico'!$B$12*'Modelo Atmosférico'!$B$13)))-1),0)</f>
        <v>0</v>
      </c>
      <c r="F236" s="14">
        <f t="shared" si="4"/>
        <v>0</v>
      </c>
      <c r="J236" s="34"/>
      <c r="K236" s="34"/>
    </row>
    <row r="237" spans="1:11" x14ac:dyDescent="0.25">
      <c r="A237" s="10">
        <v>43.967999999999897</v>
      </c>
      <c r="B237" s="10"/>
      <c r="C237" s="36"/>
      <c r="D237" s="5"/>
      <c r="E237" s="4">
        <f>IF(D237&lt;&gt;0,('Modelo Atmosférico'!$B$9/'Modelo Atmosférico'!$B$10)*((POWER(D237/'Modelo Atmosférico'!$B$14,(-'Modelo Atmosférico'!$B$11*'Modelo Atmosférico'!$B$10)/('Modelo Atmosférico'!$B$12*'Modelo Atmosférico'!$B$13)))-1),0)</f>
        <v>0</v>
      </c>
      <c r="F237" s="14">
        <f t="shared" si="4"/>
        <v>0</v>
      </c>
      <c r="J237" s="34"/>
      <c r="K237" s="34"/>
    </row>
    <row r="238" spans="1:11" x14ac:dyDescent="0.25">
      <c r="A238" s="10">
        <v>44.159999999999897</v>
      </c>
      <c r="B238" s="10"/>
      <c r="C238" s="36"/>
      <c r="D238" s="5"/>
      <c r="E238" s="4">
        <f>IF(D238&lt;&gt;0,('Modelo Atmosférico'!$B$9/'Modelo Atmosférico'!$B$10)*((POWER(D238/'Modelo Atmosférico'!$B$14,(-'Modelo Atmosférico'!$B$11*'Modelo Atmosférico'!$B$10)/('Modelo Atmosférico'!$B$12*'Modelo Atmosférico'!$B$13)))-1),0)</f>
        <v>0</v>
      </c>
      <c r="F238" s="14">
        <f t="shared" si="4"/>
        <v>0</v>
      </c>
      <c r="J238" s="34"/>
      <c r="K238" s="34"/>
    </row>
    <row r="239" spans="1:11" x14ac:dyDescent="0.25">
      <c r="A239" s="10">
        <v>44.351999999999897</v>
      </c>
      <c r="B239" s="10"/>
      <c r="C239" s="36"/>
      <c r="D239" s="5"/>
      <c r="E239" s="4">
        <f>IF(D239&lt;&gt;0,('Modelo Atmosférico'!$B$9/'Modelo Atmosférico'!$B$10)*((POWER(D239/'Modelo Atmosférico'!$B$14,(-'Modelo Atmosférico'!$B$11*'Modelo Atmosférico'!$B$10)/('Modelo Atmosférico'!$B$12*'Modelo Atmosférico'!$B$13)))-1),0)</f>
        <v>0</v>
      </c>
      <c r="F239" s="14">
        <f t="shared" si="4"/>
        <v>0</v>
      </c>
      <c r="J239" s="34"/>
      <c r="K239" s="34"/>
    </row>
    <row r="240" spans="1:11" x14ac:dyDescent="0.25">
      <c r="A240" s="10">
        <v>44.543999999999897</v>
      </c>
      <c r="B240" s="10"/>
      <c r="C240" s="36"/>
      <c r="D240" s="5"/>
      <c r="E240" s="4">
        <f>IF(D240&lt;&gt;0,('Modelo Atmosférico'!$B$9/'Modelo Atmosférico'!$B$10)*((POWER(D240/'Modelo Atmosférico'!$B$14,(-'Modelo Atmosférico'!$B$11*'Modelo Atmosférico'!$B$10)/('Modelo Atmosférico'!$B$12*'Modelo Atmosférico'!$B$13)))-1),0)</f>
        <v>0</v>
      </c>
      <c r="F240" s="14">
        <f t="shared" si="4"/>
        <v>0</v>
      </c>
      <c r="J240" s="34"/>
      <c r="K240" s="34"/>
    </row>
    <row r="241" spans="1:11" x14ac:dyDescent="0.25">
      <c r="A241" s="10">
        <v>44.735999999999898</v>
      </c>
      <c r="B241" s="10"/>
      <c r="C241" s="36"/>
      <c r="D241" s="5"/>
      <c r="E241" s="4">
        <f>IF(D241&lt;&gt;0,('Modelo Atmosférico'!$B$9/'Modelo Atmosférico'!$B$10)*((POWER(D241/'Modelo Atmosférico'!$B$14,(-'Modelo Atmosférico'!$B$11*'Modelo Atmosférico'!$B$10)/('Modelo Atmosférico'!$B$12*'Modelo Atmosférico'!$B$13)))-1),0)</f>
        <v>0</v>
      </c>
      <c r="F241" s="14">
        <f t="shared" si="4"/>
        <v>0</v>
      </c>
      <c r="J241" s="34"/>
      <c r="K241" s="34"/>
    </row>
    <row r="242" spans="1:11" x14ac:dyDescent="0.25">
      <c r="A242" s="10">
        <v>44.927999999999898</v>
      </c>
      <c r="B242" s="10"/>
      <c r="C242" s="36"/>
      <c r="D242" s="5"/>
      <c r="E242" s="4">
        <f>IF(D242&lt;&gt;0,('Modelo Atmosférico'!$B$9/'Modelo Atmosférico'!$B$10)*((POWER(D242/'Modelo Atmosférico'!$B$14,(-'Modelo Atmosférico'!$B$11*'Modelo Atmosférico'!$B$10)/('Modelo Atmosférico'!$B$12*'Modelo Atmosférico'!$B$13)))-1),0)</f>
        <v>0</v>
      </c>
      <c r="F242" s="14">
        <f t="shared" si="4"/>
        <v>0</v>
      </c>
      <c r="J242" s="34"/>
      <c r="K242" s="34"/>
    </row>
    <row r="243" spans="1:11" x14ac:dyDescent="0.25">
      <c r="A243" s="10">
        <v>45.119999999999898</v>
      </c>
      <c r="B243" s="10"/>
      <c r="C243" s="36"/>
      <c r="D243" s="5"/>
      <c r="E243" s="4">
        <f>IF(D243&lt;&gt;0,('Modelo Atmosférico'!$B$9/'Modelo Atmosférico'!$B$10)*((POWER(D243/'Modelo Atmosférico'!$B$14,(-'Modelo Atmosférico'!$B$11*'Modelo Atmosférico'!$B$10)/('Modelo Atmosférico'!$B$12*'Modelo Atmosférico'!$B$13)))-1),0)</f>
        <v>0</v>
      </c>
      <c r="F243" s="14">
        <f t="shared" si="4"/>
        <v>0</v>
      </c>
      <c r="J243" s="34"/>
      <c r="K243" s="34"/>
    </row>
    <row r="244" spans="1:11" x14ac:dyDescent="0.25">
      <c r="A244" s="10">
        <v>45.311999999999898</v>
      </c>
      <c r="B244" s="10"/>
      <c r="C244" s="36"/>
      <c r="D244" s="5"/>
      <c r="E244" s="4">
        <f>IF(D244&lt;&gt;0,('Modelo Atmosférico'!$B$9/'Modelo Atmosférico'!$B$10)*((POWER(D244/'Modelo Atmosférico'!$B$14,(-'Modelo Atmosférico'!$B$11*'Modelo Atmosférico'!$B$10)/('Modelo Atmosférico'!$B$12*'Modelo Atmosférico'!$B$13)))-1),0)</f>
        <v>0</v>
      </c>
      <c r="F244" s="14">
        <f t="shared" si="4"/>
        <v>0</v>
      </c>
      <c r="J244" s="34"/>
      <c r="K244" s="34"/>
    </row>
    <row r="245" spans="1:11" x14ac:dyDescent="0.25">
      <c r="A245" s="10">
        <v>45.503999999999898</v>
      </c>
      <c r="B245" s="10"/>
      <c r="C245" s="36"/>
      <c r="D245" s="5"/>
      <c r="E245" s="4">
        <f>IF(D245&lt;&gt;0,('Modelo Atmosférico'!$B$9/'Modelo Atmosférico'!$B$10)*((POWER(D245/'Modelo Atmosférico'!$B$14,(-'Modelo Atmosférico'!$B$11*'Modelo Atmosférico'!$B$10)/('Modelo Atmosférico'!$B$12*'Modelo Atmosférico'!$B$13)))-1),0)</f>
        <v>0</v>
      </c>
      <c r="F245" s="14">
        <f t="shared" si="4"/>
        <v>0</v>
      </c>
      <c r="J245" s="34"/>
      <c r="K245" s="34"/>
    </row>
    <row r="246" spans="1:11" x14ac:dyDescent="0.25">
      <c r="A246" s="10">
        <v>45.695999999999898</v>
      </c>
      <c r="B246" s="10"/>
      <c r="C246" s="36"/>
      <c r="D246" s="5"/>
      <c r="E246" s="4">
        <f>IF(D246&lt;&gt;0,('Modelo Atmosférico'!$B$9/'Modelo Atmosférico'!$B$10)*((POWER(D246/'Modelo Atmosférico'!$B$14,(-'Modelo Atmosférico'!$B$11*'Modelo Atmosférico'!$B$10)/('Modelo Atmosférico'!$B$12*'Modelo Atmosférico'!$B$13)))-1),0)</f>
        <v>0</v>
      </c>
      <c r="F246" s="14">
        <f t="shared" si="4"/>
        <v>0</v>
      </c>
      <c r="J246" s="34"/>
      <c r="K246" s="34"/>
    </row>
    <row r="247" spans="1:11" x14ac:dyDescent="0.25">
      <c r="A247" s="10">
        <v>45.887999999999899</v>
      </c>
      <c r="B247" s="10"/>
      <c r="C247" s="36"/>
      <c r="D247" s="5"/>
      <c r="E247" s="4">
        <f>IF(D247&lt;&gt;0,('Modelo Atmosférico'!$B$9/'Modelo Atmosférico'!$B$10)*((POWER(D247/'Modelo Atmosférico'!$B$14,(-'Modelo Atmosférico'!$B$11*'Modelo Atmosférico'!$B$10)/('Modelo Atmosférico'!$B$12*'Modelo Atmosférico'!$B$13)))-1),0)</f>
        <v>0</v>
      </c>
      <c r="F247" s="14">
        <f t="shared" si="4"/>
        <v>0</v>
      </c>
      <c r="J247" s="34"/>
      <c r="K247" s="34"/>
    </row>
    <row r="248" spans="1:11" x14ac:dyDescent="0.25">
      <c r="A248" s="7">
        <v>46.079999999999899</v>
      </c>
      <c r="B248" s="10"/>
      <c r="C248" s="15"/>
      <c r="D248" s="16"/>
      <c r="E248" s="17">
        <f>IF(D248&lt;&gt;0,('Modelo Atmosférico'!$B$9/'Modelo Atmosférico'!$B$10)*((POWER(D248/'Modelo Atmosférico'!$B$14,(-'Modelo Atmosférico'!$B$11*'Modelo Atmosférico'!$B$10)/('Modelo Atmosférico'!$B$12*'Modelo Atmosférico'!$B$13)))-1),0)</f>
        <v>0</v>
      </c>
      <c r="F248" s="18">
        <f t="shared" si="4"/>
        <v>0</v>
      </c>
      <c r="J248" s="34"/>
      <c r="K248" s="34"/>
    </row>
  </sheetData>
  <mergeCells count="5">
    <mergeCell ref="A5:C5"/>
    <mergeCell ref="A1:B1"/>
    <mergeCell ref="A2:C2"/>
    <mergeCell ref="A3:C3"/>
    <mergeCell ref="A4:C4"/>
  </mergeCell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ommandButton1">
          <controlPr defaultSize="0" autoLine="0" autoPict="0" r:id="rId5">
            <anchor moveWithCells="1">
              <from>
                <xdr:col>3</xdr:col>
                <xdr:colOff>28575</xdr:colOff>
                <xdr:row>5</xdr:row>
                <xdr:rowOff>66675</xdr:rowOff>
              </from>
              <to>
                <xdr:col>5</xdr:col>
                <xdr:colOff>333375</xdr:colOff>
                <xdr:row>5</xdr:row>
                <xdr:rowOff>342900</xdr:rowOff>
              </to>
            </anchor>
          </controlPr>
        </control>
      </mc:Choice>
      <mc:Fallback>
        <control shapeId="3074" r:id="rId4" name="CommandButton1"/>
      </mc:Fallback>
    </mc:AlternateContent>
    <mc:AlternateContent xmlns:mc="http://schemas.openxmlformats.org/markup-compatibility/2006">
      <mc:Choice Requires="x14">
        <control shapeId="3076" r:id="rId6" name="CommandButton2">
          <controlPr defaultSize="0" autoLine="0" r:id="rId7">
            <anchor moveWithCells="1">
              <from>
                <xdr:col>8</xdr:col>
                <xdr:colOff>600075</xdr:colOff>
                <xdr:row>23</xdr:row>
                <xdr:rowOff>161925</xdr:rowOff>
              </from>
              <to>
                <xdr:col>11</xdr:col>
                <xdr:colOff>228600</xdr:colOff>
                <xdr:row>25</xdr:row>
                <xdr:rowOff>114300</xdr:rowOff>
              </to>
            </anchor>
          </controlPr>
        </control>
      </mc:Choice>
      <mc:Fallback>
        <control shapeId="3076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164</vt:i4>
      </vt:variant>
    </vt:vector>
  </HeadingPairs>
  <TitlesOfParts>
    <vt:vector size="166" baseType="lpstr">
      <vt:lpstr>Modelo Atmosférico</vt:lpstr>
      <vt:lpstr>Leitura Dados de Vôo</vt:lpstr>
      <vt:lpstr>'Leitura Dados de Vôo'!P1_flight_data_raw</vt:lpstr>
      <vt:lpstr>'Leitura Dados de Vôo'!P1_flight_data_raw_1</vt:lpstr>
      <vt:lpstr>'Leitura Dados de Vôo'!P1_flight_data_raw_100</vt:lpstr>
      <vt:lpstr>'Leitura Dados de Vôo'!P1_flight_data_raw_101</vt:lpstr>
      <vt:lpstr>'Leitura Dados de Vôo'!P1_flight_data_raw_23</vt:lpstr>
      <vt:lpstr>'Leitura Dados de Vôo'!P1_flight_data_raw_3</vt:lpstr>
      <vt:lpstr>'Leitura Dados de Vôo'!P1_flight_data_raw_38</vt:lpstr>
      <vt:lpstr>'Leitura Dados de Vôo'!P1_flight_data_raw_4</vt:lpstr>
      <vt:lpstr>'Leitura Dados de Vôo'!P1_flight_data_raw_40</vt:lpstr>
      <vt:lpstr>'Leitura Dados de Vôo'!P1_flight_data_raw_41</vt:lpstr>
      <vt:lpstr>'Leitura Dados de Vôo'!P1_flight_data_raw_43</vt:lpstr>
      <vt:lpstr>'Leitura Dados de Vôo'!P1_flight_data_raw_49</vt:lpstr>
      <vt:lpstr>'Leitura Dados de Vôo'!P1_flight_data_raw_50</vt:lpstr>
      <vt:lpstr>'Leitura Dados de Vôo'!P1_flight_data_raw_54</vt:lpstr>
      <vt:lpstr>'Leitura Dados de Vôo'!P1_flight_data_raw_55</vt:lpstr>
      <vt:lpstr>'Leitura Dados de Vôo'!P1_flight_data_raw_56</vt:lpstr>
      <vt:lpstr>'Leitura Dados de Vôo'!P1_flight_data_raw_58</vt:lpstr>
      <vt:lpstr>'Leitura Dados de Vôo'!P1_flight_data_raw_64</vt:lpstr>
      <vt:lpstr>'Leitura Dados de Vôo'!P1_flight_data_raw_65</vt:lpstr>
      <vt:lpstr>'Leitura Dados de Vôo'!P1_flight_data_raw_66</vt:lpstr>
      <vt:lpstr>'Leitura Dados de Vôo'!P1_flight_data_raw_67</vt:lpstr>
      <vt:lpstr>'Leitura Dados de Vôo'!P1_flight_data_raw_68</vt:lpstr>
      <vt:lpstr>'Leitura Dados de Vôo'!P1_flight_data_raw_69</vt:lpstr>
      <vt:lpstr>'Leitura Dados de Vôo'!P1_flight_data_raw_70</vt:lpstr>
      <vt:lpstr>'Leitura Dados de Vôo'!P1_flight_data_raw_71</vt:lpstr>
      <vt:lpstr>'Leitura Dados de Vôo'!P1_flight_data_raw_72</vt:lpstr>
      <vt:lpstr>'Leitura Dados de Vôo'!P1_flight_data_raw_73</vt:lpstr>
      <vt:lpstr>'Leitura Dados de Vôo'!P1_flight_data_raw_74</vt:lpstr>
      <vt:lpstr>'Leitura Dados de Vôo'!P1_flight_data_raw_75</vt:lpstr>
      <vt:lpstr>'Leitura Dados de Vôo'!P1_flight_data_raw_76</vt:lpstr>
      <vt:lpstr>'Leitura Dados de Vôo'!P1_flight_data_raw_79</vt:lpstr>
      <vt:lpstr>'Leitura Dados de Vôo'!P1_flight_data_raw_8</vt:lpstr>
      <vt:lpstr>'Leitura Dados de Vôo'!P1_flight_data_raw_80</vt:lpstr>
      <vt:lpstr>'Leitura Dados de Vôo'!P1_flight_data_raw_81</vt:lpstr>
      <vt:lpstr>'Leitura Dados de Vôo'!P1_flight_data_raw_82</vt:lpstr>
      <vt:lpstr>'Leitura Dados de Vôo'!P1_flight_data_raw_83</vt:lpstr>
      <vt:lpstr>'Leitura Dados de Vôo'!P1_flight_data_raw_84</vt:lpstr>
      <vt:lpstr>'Leitura Dados de Vôo'!P1_flight_data_raw_85</vt:lpstr>
      <vt:lpstr>'Leitura Dados de Vôo'!P1_flight_data_raw_86</vt:lpstr>
      <vt:lpstr>'Leitura Dados de Vôo'!P1_flight_data_raw_87</vt:lpstr>
      <vt:lpstr>'Leitura Dados de Vôo'!P1_flight_data_raw_88</vt:lpstr>
      <vt:lpstr>'Leitura Dados de Vôo'!P1_flight_data_raw_89</vt:lpstr>
      <vt:lpstr>'Leitura Dados de Vôo'!P1_flight_data_raw_90</vt:lpstr>
      <vt:lpstr>'Leitura Dados de Vôo'!P1_flight_data_raw_91</vt:lpstr>
      <vt:lpstr>'Leitura Dados de Vôo'!P1_flight_data_raw_92</vt:lpstr>
      <vt:lpstr>'Leitura Dados de Vôo'!P1_flight_data_raw_93</vt:lpstr>
      <vt:lpstr>'Leitura Dados de Vôo'!P1_flight_data_raw_94</vt:lpstr>
      <vt:lpstr>'Leitura Dados de Vôo'!P1_flight_data_raw_95</vt:lpstr>
      <vt:lpstr>'Leitura Dados de Vôo'!P1_flight_data_raw_96</vt:lpstr>
      <vt:lpstr>'Leitura Dados de Vôo'!P1_flight_data_raw_97</vt:lpstr>
      <vt:lpstr>'Leitura Dados de Vôo'!P1_flight_data_raw_98</vt:lpstr>
      <vt:lpstr>'Leitura Dados de Vôo'!P1_flight_data_raw_99</vt:lpstr>
      <vt:lpstr>'Leitura Dados de Vôo'!P1_flight_data_true</vt:lpstr>
      <vt:lpstr>'Leitura Dados de Vôo'!P1_flight_data_true_10</vt:lpstr>
      <vt:lpstr>'Leitura Dados de Vôo'!P1_flight_data_true_100</vt:lpstr>
      <vt:lpstr>'Leitura Dados de Vôo'!P1_flight_data_true_101</vt:lpstr>
      <vt:lpstr>'Leitura Dados de Vôo'!P1_flight_data_true_102</vt:lpstr>
      <vt:lpstr>'Leitura Dados de Vôo'!P1_flight_data_true_103</vt:lpstr>
      <vt:lpstr>'Leitura Dados de Vôo'!P1_flight_data_true_104</vt:lpstr>
      <vt:lpstr>'Leitura Dados de Vôo'!P1_flight_data_true_105</vt:lpstr>
      <vt:lpstr>'Leitura Dados de Vôo'!P1_flight_data_true_106</vt:lpstr>
      <vt:lpstr>'Leitura Dados de Vôo'!P1_flight_data_true_107</vt:lpstr>
      <vt:lpstr>'Leitura Dados de Vôo'!P1_flight_data_true_108</vt:lpstr>
      <vt:lpstr>'Leitura Dados de Vôo'!P1_flight_data_true_109</vt:lpstr>
      <vt:lpstr>'Leitura Dados de Vôo'!P1_flight_data_true_11</vt:lpstr>
      <vt:lpstr>'Leitura Dados de Vôo'!P1_flight_data_true_110</vt:lpstr>
      <vt:lpstr>'Leitura Dados de Vôo'!P1_flight_data_true_111</vt:lpstr>
      <vt:lpstr>'Leitura Dados de Vôo'!P1_flight_data_true_112</vt:lpstr>
      <vt:lpstr>'Leitura Dados de Vôo'!P1_flight_data_true_113</vt:lpstr>
      <vt:lpstr>'Leitura Dados de Vôo'!P1_flight_data_true_12</vt:lpstr>
      <vt:lpstr>'Leitura Dados de Vôo'!P1_flight_data_true_13</vt:lpstr>
      <vt:lpstr>'Leitura Dados de Vôo'!P1_flight_data_true_14</vt:lpstr>
      <vt:lpstr>'Leitura Dados de Vôo'!P1_flight_data_true_15</vt:lpstr>
      <vt:lpstr>'Leitura Dados de Vôo'!P1_flight_data_true_16</vt:lpstr>
      <vt:lpstr>'Leitura Dados de Vôo'!P1_flight_data_true_17</vt:lpstr>
      <vt:lpstr>'Leitura Dados de Vôo'!P1_flight_data_true_18</vt:lpstr>
      <vt:lpstr>'Leitura Dados de Vôo'!P1_flight_data_true_19</vt:lpstr>
      <vt:lpstr>'Leitura Dados de Vôo'!P1_flight_data_true_2</vt:lpstr>
      <vt:lpstr>'Leitura Dados de Vôo'!P1_flight_data_true_20</vt:lpstr>
      <vt:lpstr>'Leitura Dados de Vôo'!P1_flight_data_true_21</vt:lpstr>
      <vt:lpstr>'Leitura Dados de Vôo'!P1_flight_data_true_22</vt:lpstr>
      <vt:lpstr>'Leitura Dados de Vôo'!P1_flight_data_true_23</vt:lpstr>
      <vt:lpstr>'Leitura Dados de Vôo'!P1_flight_data_true_24</vt:lpstr>
      <vt:lpstr>'Leitura Dados de Vôo'!P1_flight_data_true_25</vt:lpstr>
      <vt:lpstr>'Leitura Dados de Vôo'!P1_flight_data_true_26</vt:lpstr>
      <vt:lpstr>'Leitura Dados de Vôo'!P1_flight_data_true_27</vt:lpstr>
      <vt:lpstr>'Leitura Dados de Vôo'!P1_flight_data_true_28</vt:lpstr>
      <vt:lpstr>'Leitura Dados de Vôo'!P1_flight_data_true_29</vt:lpstr>
      <vt:lpstr>'Leitura Dados de Vôo'!P1_flight_data_true_3</vt:lpstr>
      <vt:lpstr>'Leitura Dados de Vôo'!P1_flight_data_true_30</vt:lpstr>
      <vt:lpstr>'Leitura Dados de Vôo'!P1_flight_data_true_31</vt:lpstr>
      <vt:lpstr>'Leitura Dados de Vôo'!P1_flight_data_true_32</vt:lpstr>
      <vt:lpstr>'Leitura Dados de Vôo'!P1_flight_data_true_33</vt:lpstr>
      <vt:lpstr>'Leitura Dados de Vôo'!P1_flight_data_true_34</vt:lpstr>
      <vt:lpstr>'Leitura Dados de Vôo'!P1_flight_data_true_35</vt:lpstr>
      <vt:lpstr>'Leitura Dados de Vôo'!P1_flight_data_true_36</vt:lpstr>
      <vt:lpstr>'Leitura Dados de Vôo'!P1_flight_data_true_37</vt:lpstr>
      <vt:lpstr>'Leitura Dados de Vôo'!P1_flight_data_true_38</vt:lpstr>
      <vt:lpstr>'Leitura Dados de Vôo'!P1_flight_data_true_39</vt:lpstr>
      <vt:lpstr>'Leitura Dados de Vôo'!P1_flight_data_true_4</vt:lpstr>
      <vt:lpstr>'Leitura Dados de Vôo'!P1_flight_data_true_40</vt:lpstr>
      <vt:lpstr>'Leitura Dados de Vôo'!P1_flight_data_true_41</vt:lpstr>
      <vt:lpstr>'Leitura Dados de Vôo'!P1_flight_data_true_42</vt:lpstr>
      <vt:lpstr>'Leitura Dados de Vôo'!P1_flight_data_true_43</vt:lpstr>
      <vt:lpstr>'Leitura Dados de Vôo'!P1_flight_data_true_44</vt:lpstr>
      <vt:lpstr>'Leitura Dados de Vôo'!P1_flight_data_true_45</vt:lpstr>
      <vt:lpstr>'Leitura Dados de Vôo'!P1_flight_data_true_46</vt:lpstr>
      <vt:lpstr>'Leitura Dados de Vôo'!P1_flight_data_true_47</vt:lpstr>
      <vt:lpstr>'Leitura Dados de Vôo'!P1_flight_data_true_48</vt:lpstr>
      <vt:lpstr>'Leitura Dados de Vôo'!P1_flight_data_true_49</vt:lpstr>
      <vt:lpstr>'Leitura Dados de Vôo'!P1_flight_data_true_5</vt:lpstr>
      <vt:lpstr>'Leitura Dados de Vôo'!P1_flight_data_true_50</vt:lpstr>
      <vt:lpstr>'Leitura Dados de Vôo'!P1_flight_data_true_51</vt:lpstr>
      <vt:lpstr>'Leitura Dados de Vôo'!P1_flight_data_true_52</vt:lpstr>
      <vt:lpstr>'Leitura Dados de Vôo'!P1_flight_data_true_53</vt:lpstr>
      <vt:lpstr>'Leitura Dados de Vôo'!P1_flight_data_true_54</vt:lpstr>
      <vt:lpstr>'Leitura Dados de Vôo'!P1_flight_data_true_55</vt:lpstr>
      <vt:lpstr>'Leitura Dados de Vôo'!P1_flight_data_true_56</vt:lpstr>
      <vt:lpstr>'Leitura Dados de Vôo'!P1_flight_data_true_57</vt:lpstr>
      <vt:lpstr>'Leitura Dados de Vôo'!P1_flight_data_true_58</vt:lpstr>
      <vt:lpstr>'Leitura Dados de Vôo'!P1_flight_data_true_59</vt:lpstr>
      <vt:lpstr>'Leitura Dados de Vôo'!P1_flight_data_true_6</vt:lpstr>
      <vt:lpstr>'Leitura Dados de Vôo'!P1_flight_data_true_60</vt:lpstr>
      <vt:lpstr>'Leitura Dados de Vôo'!P1_flight_data_true_61</vt:lpstr>
      <vt:lpstr>'Leitura Dados de Vôo'!P1_flight_data_true_62</vt:lpstr>
      <vt:lpstr>'Leitura Dados de Vôo'!P1_flight_data_true_63</vt:lpstr>
      <vt:lpstr>'Leitura Dados de Vôo'!P1_flight_data_true_64</vt:lpstr>
      <vt:lpstr>'Leitura Dados de Vôo'!P1_flight_data_true_65</vt:lpstr>
      <vt:lpstr>'Leitura Dados de Vôo'!P1_flight_data_true_66</vt:lpstr>
      <vt:lpstr>'Leitura Dados de Vôo'!P1_flight_data_true_67</vt:lpstr>
      <vt:lpstr>'Leitura Dados de Vôo'!P1_flight_data_true_68</vt:lpstr>
      <vt:lpstr>'Leitura Dados de Vôo'!P1_flight_data_true_69</vt:lpstr>
      <vt:lpstr>'Leitura Dados de Vôo'!P1_flight_data_true_70</vt:lpstr>
      <vt:lpstr>'Leitura Dados de Vôo'!P1_flight_data_true_71</vt:lpstr>
      <vt:lpstr>'Leitura Dados de Vôo'!P1_flight_data_true_72</vt:lpstr>
      <vt:lpstr>'Leitura Dados de Vôo'!P1_flight_data_true_73</vt:lpstr>
      <vt:lpstr>'Leitura Dados de Vôo'!P1_flight_data_true_74</vt:lpstr>
      <vt:lpstr>'Leitura Dados de Vôo'!P1_flight_data_true_75</vt:lpstr>
      <vt:lpstr>'Leitura Dados de Vôo'!P1_flight_data_true_76</vt:lpstr>
      <vt:lpstr>'Leitura Dados de Vôo'!P1_flight_data_true_77</vt:lpstr>
      <vt:lpstr>'Leitura Dados de Vôo'!P1_flight_data_true_78</vt:lpstr>
      <vt:lpstr>'Leitura Dados de Vôo'!P1_flight_data_true_79</vt:lpstr>
      <vt:lpstr>'Leitura Dados de Vôo'!P1_flight_data_true_8</vt:lpstr>
      <vt:lpstr>'Leitura Dados de Vôo'!P1_flight_data_true_80</vt:lpstr>
      <vt:lpstr>'Leitura Dados de Vôo'!P1_flight_data_true_81</vt:lpstr>
      <vt:lpstr>'Leitura Dados de Vôo'!P1_flight_data_true_82</vt:lpstr>
      <vt:lpstr>'Leitura Dados de Vôo'!P1_flight_data_true_83</vt:lpstr>
      <vt:lpstr>'Leitura Dados de Vôo'!P1_flight_data_true_84</vt:lpstr>
      <vt:lpstr>'Leitura Dados de Vôo'!P1_flight_data_true_85</vt:lpstr>
      <vt:lpstr>'Leitura Dados de Vôo'!P1_flight_data_true_86</vt:lpstr>
      <vt:lpstr>'Leitura Dados de Vôo'!P1_flight_data_true_87</vt:lpstr>
      <vt:lpstr>'Leitura Dados de Vôo'!P1_flight_data_true_88</vt:lpstr>
      <vt:lpstr>'Leitura Dados de Vôo'!P1_flight_data_true_89</vt:lpstr>
      <vt:lpstr>'Leitura Dados de Vôo'!P1_flight_data_true_9</vt:lpstr>
      <vt:lpstr>'Leitura Dados de Vôo'!P1_flight_data_true_90</vt:lpstr>
      <vt:lpstr>'Leitura Dados de Vôo'!P1_flight_data_true_91</vt:lpstr>
      <vt:lpstr>'Leitura Dados de Vôo'!P1_flight_data_true_92</vt:lpstr>
      <vt:lpstr>'Leitura Dados de Vôo'!P1_flight_data_true_93</vt:lpstr>
      <vt:lpstr>'Leitura Dados de Vôo'!P1_flight_data_true_94</vt:lpstr>
      <vt:lpstr>'Leitura Dados de Vôo'!P1_flight_data_true_95</vt:lpstr>
      <vt:lpstr>'Leitura Dados de Vôo'!P1_flight_data_true_96</vt:lpstr>
      <vt:lpstr>'Leitura Dados de Vôo'!P1_flight_data_true_97</vt:lpstr>
      <vt:lpstr>'Leitura Dados de Vôo'!P1_flight_data_true_98</vt:lpstr>
      <vt:lpstr>'Leitura Dados de Vôo'!P1_flight_data_true_99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DRAYCON</dc:creator>
  <cp:lastModifiedBy>Draycon</cp:lastModifiedBy>
  <dcterms:created xsi:type="dcterms:W3CDTF">2016-09-10T21:06:40Z</dcterms:created>
  <dcterms:modified xsi:type="dcterms:W3CDTF">2018-05-08T20:38:03Z</dcterms:modified>
</cp:coreProperties>
</file>